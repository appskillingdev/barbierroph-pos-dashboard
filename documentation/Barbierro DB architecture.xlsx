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esktop\web-apps\appskilling\barbierro-app\documentation\"/>
    </mc:Choice>
  </mc:AlternateContent>
  <xr:revisionPtr revIDLastSave="0" documentId="13_ncr:1_{3654D9AD-44B4-4FCE-A9E9-E35CC979829A}" xr6:coauthVersionLast="47" xr6:coauthVersionMax="47" xr10:uidLastSave="{00000000-0000-0000-0000-000000000000}"/>
  <bookViews>
    <workbookView xWindow="-108" yWindow="-108" windowWidth="23256" windowHeight="12456" xr2:uid="{724B8F14-26B3-4C2F-8EFA-8C4A82F04F98}"/>
  </bookViews>
  <sheets>
    <sheet name="bph_sales" sheetId="1" r:id="rId1"/>
    <sheet name="bph_services" sheetId="2" r:id="rId2"/>
    <sheet name="bph_services_cost" sheetId="3" r:id="rId3"/>
    <sheet name="bph_branches" sheetId="13" r:id="rId4"/>
    <sheet name="bph_users" sheetId="14" r:id="rId5"/>
    <sheet name="bph_barbers" sheetId="4" r:id="rId6"/>
    <sheet name="bph_inventory" sheetId="5" r:id="rId7"/>
    <sheet name="bph_inventory_category" sheetId="7" r:id="rId8"/>
    <sheet name="bph_paymentmethods" sheetId="12" r:id="rId9"/>
    <sheet name="bph_inventory_trail" sheetId="6" r:id="rId10"/>
    <sheet name="bph_customers" sheetId="8" r:id="rId11"/>
    <sheet name="v_mtd_report" sheetId="10" r:id="rId12"/>
    <sheet name="v_barbers_performance" sheetId="11" r:id="rId13"/>
    <sheet name="v_customer_lifetime_value" sheetId="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<sst xmlns="http://schemas.openxmlformats.org/spreadsheetml/2006/main" count="691" uniqueCount="265">
  <si>
    <t>Key Field</t>
  </si>
  <si>
    <t>Data Type</t>
  </si>
  <si>
    <t>Field Description</t>
  </si>
  <si>
    <t>References</t>
  </si>
  <si>
    <t>Field name</t>
  </si>
  <si>
    <t>Yes</t>
  </si>
  <si>
    <t>Virtual Fields</t>
  </si>
  <si>
    <t>Date</t>
  </si>
  <si>
    <t>Date of Transaction</t>
  </si>
  <si>
    <t>String</t>
  </si>
  <si>
    <t>Transaction ID</t>
  </si>
  <si>
    <t>transaction_id</t>
  </si>
  <si>
    <t>transaction_date</t>
  </si>
  <si>
    <t>customer_id</t>
  </si>
  <si>
    <t>Customer ID identifier of customer</t>
  </si>
  <si>
    <t>Refer to bph_customer</t>
  </si>
  <si>
    <t>barber_id</t>
  </si>
  <si>
    <t>Barber/agent identifier of barber/agent assigned</t>
  </si>
  <si>
    <t>Refer to bph_barber</t>
  </si>
  <si>
    <t>Service code/service used for this transaction</t>
  </si>
  <si>
    <t>Refer to bph_services</t>
  </si>
  <si>
    <t>No</t>
  </si>
  <si>
    <t>Quarter based from transaction_date (Ex. Q1-2026)</t>
  </si>
  <si>
    <t>Word-based month from transaction_date</t>
  </si>
  <si>
    <t>Word-based Day from transaction_date</t>
  </si>
  <si>
    <t>Category</t>
  </si>
  <si>
    <t>date_quarter</t>
  </si>
  <si>
    <t>date_period</t>
  </si>
  <si>
    <t>date_month</t>
  </si>
  <si>
    <t>Period based from transaction_date(01 - January)</t>
  </si>
  <si>
    <t>date_day</t>
  </si>
  <si>
    <t>_bph_services.category</t>
  </si>
  <si>
    <t>_bph_services.cluster</t>
  </si>
  <si>
    <t>_bph_services.amount</t>
  </si>
  <si>
    <t>Decimal</t>
  </si>
  <si>
    <t>payment_method</t>
  </si>
  <si>
    <t>Refer to bph_paymentmethods</t>
  </si>
  <si>
    <t>Payment Methods</t>
  </si>
  <si>
    <t>reference_no</t>
  </si>
  <si>
    <t>Reference number (applicable if non-cash transaction)</t>
  </si>
  <si>
    <t>associated field from customer_id in table bph_customer</t>
  </si>
  <si>
    <t>Integer</t>
  </si>
  <si>
    <t>associated field form customer_id in table bph_customer</t>
  </si>
  <si>
    <t>is_returning</t>
  </si>
  <si>
    <t>Boolean</t>
  </si>
  <si>
    <t>apply logic based on _bph_services.visit_count</t>
  </si>
  <si>
    <t>service_code</t>
  </si>
  <si>
    <t>associated field from service_code in table bph_services</t>
  </si>
  <si>
    <t>Service code</t>
  </si>
  <si>
    <t>category</t>
  </si>
  <si>
    <t>cluster</t>
  </si>
  <si>
    <t>Drop down (Retail, Service, Consummables, Service-promo)</t>
  </si>
  <si>
    <t>service_description</t>
  </si>
  <si>
    <t>Actual service (full detail)</t>
  </si>
  <si>
    <t>Association</t>
  </si>
  <si>
    <t>_bph_services</t>
  </si>
  <si>
    <t>Associated table bph_paymentmethods (1..1)</t>
  </si>
  <si>
    <t>Associated table bph_services (1..1)</t>
  </si>
  <si>
    <t>Associated table bph_customer (1..1)</t>
  </si>
  <si>
    <t>_bph_customer</t>
  </si>
  <si>
    <t>_bph_paymentmethods</t>
  </si>
  <si>
    <t>amount</t>
  </si>
  <si>
    <t>amount of service</t>
  </si>
  <si>
    <t>_cost_structure</t>
  </si>
  <si>
    <t>Associated to table bph_service_cost (1..n) - child entity of bph_services</t>
  </si>
  <si>
    <t>item_number</t>
  </si>
  <si>
    <t>Item Number identifier</t>
  </si>
  <si>
    <t>product_id</t>
  </si>
  <si>
    <t>refer to bph_inventory</t>
  </si>
  <si>
    <t>_bph_inventory</t>
  </si>
  <si>
    <t xml:space="preserve">Associated to table bph_inventory (1..1) </t>
  </si>
  <si>
    <r>
      <t xml:space="preserve">associated field from service_code in table bph_services
</t>
    </r>
    <r>
      <rPr>
        <b/>
        <sz val="11"/>
        <color theme="1"/>
        <rFont val="Aptos Narrow"/>
        <family val="2"/>
        <scheme val="minor"/>
      </rPr>
      <t>add a % of amount if barber assigned is senior stylist</t>
    </r>
  </si>
  <si>
    <t>icon</t>
  </si>
  <si>
    <t>Blob</t>
  </si>
  <si>
    <t>Converted xstring of image</t>
  </si>
  <si>
    <t>cost_category</t>
  </si>
  <si>
    <t>Product/Barber Effort</t>
  </si>
  <si>
    <t>cost_id</t>
  </si>
  <si>
    <t>_inventory</t>
  </si>
  <si>
    <t>description</t>
  </si>
  <si>
    <t>based from bph_inventory.product_description(product_id), or fixed barber efforts items from cost_category</t>
  </si>
  <si>
    <t>If Product, get lists from bph_inventory. If Barber effort, fixed dropdown, with description)</t>
  </si>
  <si>
    <t>_bph_customer.contact_number</t>
  </si>
  <si>
    <t>_bph_customer.social_media</t>
  </si>
  <si>
    <t>_bph_customer.visit_count</t>
  </si>
  <si>
    <t>Associated table bph_barber(1..1)</t>
  </si>
  <si>
    <t>Guid</t>
  </si>
  <si>
    <t>Unique identifier of barber</t>
  </si>
  <si>
    <t>position</t>
  </si>
  <si>
    <t>Junior Stylist, Stylist, Senior Stylist, etc.</t>
  </si>
  <si>
    <t>barber_name</t>
  </si>
  <si>
    <t>full_name</t>
  </si>
  <si>
    <t>address</t>
  </si>
  <si>
    <t>commission</t>
  </si>
  <si>
    <t>Percentage(from 0.01-1.00/1% - 100%)</t>
  </si>
  <si>
    <t>picture</t>
  </si>
  <si>
    <t>social_media</t>
  </si>
  <si>
    <t>Social Media of barber</t>
  </si>
  <si>
    <t>email_address</t>
  </si>
  <si>
    <t>Email Address of Barber</t>
  </si>
  <si>
    <t>_bph_services_cost</t>
  </si>
  <si>
    <t>Connected to _bph_services</t>
  </si>
  <si>
    <t>Connected to _bph_services_cost</t>
  </si>
  <si>
    <t>product id of product</t>
  </si>
  <si>
    <t>product_name</t>
  </si>
  <si>
    <t>product name</t>
  </si>
  <si>
    <t>product_image</t>
  </si>
  <si>
    <t>product image</t>
  </si>
  <si>
    <t>refer to bph_inventory_category</t>
  </si>
  <si>
    <t>stock_price</t>
  </si>
  <si>
    <t>miniumum_stock</t>
  </si>
  <si>
    <t>initial_stock</t>
  </si>
  <si>
    <t>unit_cost</t>
  </si>
  <si>
    <t>stock_size</t>
  </si>
  <si>
    <t>stock_size_uom</t>
  </si>
  <si>
    <t>Unit of Measure</t>
  </si>
  <si>
    <t>stock_usage</t>
  </si>
  <si>
    <t>stock_usage_uom</t>
  </si>
  <si>
    <t>stock_yields</t>
  </si>
  <si>
    <t>Total usages applied PER customer</t>
  </si>
  <si>
    <t>stock_cost</t>
  </si>
  <si>
    <t>Cost price of this inventory</t>
  </si>
  <si>
    <t>category_id</t>
  </si>
  <si>
    <t>category_description</t>
  </si>
  <si>
    <t>movement_type</t>
  </si>
  <si>
    <t>Usage/Purchase</t>
  </si>
  <si>
    <t>created_date</t>
  </si>
  <si>
    <t>quantity</t>
  </si>
  <si>
    <t>quantity_price</t>
  </si>
  <si>
    <t>If usage, based from bph_inventory.stock_usage. If purchased, actual quantity purchased</t>
  </si>
  <si>
    <t>price of that quantity</t>
  </si>
  <si>
    <t>unit_price</t>
  </si>
  <si>
    <t>additional_notes</t>
  </si>
  <si>
    <t>customer_name</t>
  </si>
  <si>
    <t>Customer Name</t>
  </si>
  <si>
    <t>customer_address</t>
  </si>
  <si>
    <t>Customer address</t>
  </si>
  <si>
    <t>Social media id/user</t>
  </si>
  <si>
    <t>contact_number</t>
  </si>
  <si>
    <t>email address of customer</t>
  </si>
  <si>
    <t>visit_count</t>
  </si>
  <si>
    <t>net_amount</t>
  </si>
  <si>
    <t>service_amount</t>
  </si>
  <si>
    <t>cost_amount</t>
  </si>
  <si>
    <t>based from _inventory.stock_cost</t>
  </si>
  <si>
    <t>net profit based from logic of combination of _cost_structure.cost_amount</t>
  </si>
  <si>
    <t>other_cost</t>
  </si>
  <si>
    <t>other_discounts</t>
  </si>
  <si>
    <t>Percentage based (0.1 - 1.0)</t>
  </si>
  <si>
    <t>service_name</t>
  </si>
  <si>
    <t>Long description of service</t>
  </si>
  <si>
    <t>unique identifier of customer or last 4 digits of the number</t>
  </si>
  <si>
    <t>visit_interval</t>
  </si>
  <si>
    <t>average_visit</t>
  </si>
  <si>
    <t>clv</t>
  </si>
  <si>
    <t>Customer Lifecycle Value</t>
  </si>
  <si>
    <t>visit_date_first</t>
  </si>
  <si>
    <t>visit_date_latest</t>
  </si>
  <si>
    <t>projected_date_return</t>
  </si>
  <si>
    <t xml:space="preserve">summarize # of visits from the sales
count interval between dates
</t>
  </si>
  <si>
    <t>lastest_barber_assigned</t>
  </si>
  <si>
    <t>lastest_service</t>
  </si>
  <si>
    <t>from bph_customers</t>
  </si>
  <si>
    <t xml:space="preserve">count between dates of total visits from the bph_sales
</t>
  </si>
  <si>
    <t>Check latest sales of this customer from bph_sales</t>
  </si>
  <si>
    <t>count_5</t>
  </si>
  <si>
    <t>count_1</t>
  </si>
  <si>
    <t># of 1 peso</t>
  </si>
  <si>
    <t xml:space="preserve">No </t>
  </si>
  <si>
    <t># of 5 peso</t>
  </si>
  <si>
    <t>count_10</t>
  </si>
  <si>
    <t># of 10 peso</t>
  </si>
  <si>
    <t>count_20</t>
  </si>
  <si>
    <t># of 20 peso</t>
  </si>
  <si>
    <t>count_50</t>
  </si>
  <si>
    <t># of 50 peso</t>
  </si>
  <si>
    <t>count_100</t>
  </si>
  <si>
    <t># of 100 peso</t>
  </si>
  <si>
    <t>count_200</t>
  </si>
  <si>
    <t># of 200 peso</t>
  </si>
  <si>
    <t>count_500</t>
  </si>
  <si>
    <t># of 500 peso</t>
  </si>
  <si>
    <t>count_1000</t>
  </si>
  <si>
    <t># of 1000 peso</t>
  </si>
  <si>
    <t>is_promo</t>
  </si>
  <si>
    <t>This service is a promo</t>
  </si>
  <si>
    <t>check very first of sales of this customer from _bph_sales</t>
  </si>
  <si>
    <t>period</t>
  </si>
  <si>
    <t>Ex. 202601(January 2026)</t>
  </si>
  <si>
    <t>Summarize monthly basis from bph_sales</t>
  </si>
  <si>
    <t>actual_sales</t>
  </si>
  <si>
    <t>Total sales of the month</t>
  </si>
  <si>
    <t>Summarize monthly sales from bph_sales</t>
  </si>
  <si>
    <t>headcount</t>
  </si>
  <si>
    <t>Total head count/customers</t>
  </si>
  <si>
    <t>Summary of # of customers from bph_Sales for that month (period)</t>
  </si>
  <si>
    <t>headcount_prev_month_perctg</t>
  </si>
  <si>
    <t xml:space="preserve">Compare headcount from previous month vs current month, in percentage (headcount from last month and headcount of current month)
</t>
  </si>
  <si>
    <t>headcount_gained_lost</t>
  </si>
  <si>
    <t xml:space="preserve">Count from headcount_prev_month_perctg
</t>
  </si>
  <si>
    <t xml:space="preserve">growth vs ly </t>
  </si>
  <si>
    <t>? Clarify with kuya paul</t>
  </si>
  <si>
    <t>average_cost</t>
  </si>
  <si>
    <t>Average cost per headcout/customer of that month</t>
  </si>
  <si>
    <t>average_heads_per_barber</t>
  </si>
  <si>
    <t>headcount/average_barbers_on_duty/operational_days_count</t>
  </si>
  <si>
    <t>average_barbers_on_duty</t>
  </si>
  <si>
    <t>created_by</t>
  </si>
  <si>
    <t>Current user/assigned cashier</t>
  </si>
  <si>
    <t>average_daily_sales</t>
  </si>
  <si>
    <t>actual_sales of the month / operational_days_count</t>
  </si>
  <si>
    <t>average_daily_headcount</t>
  </si>
  <si>
    <t>headcount / operational_days_count</t>
  </si>
  <si>
    <t>operational_days_count</t>
  </si>
  <si>
    <t>total count of days detected per month</t>
  </si>
  <si>
    <t>based from bph_sales</t>
  </si>
  <si>
    <t>total_barber_payouts</t>
  </si>
  <si>
    <t xml:space="preserve">count each sales per day from bph_sales, get assigned barber and commission, then total all commission of that month
</t>
  </si>
  <si>
    <t>total_staff_payouts</t>
  </si>
  <si>
    <t>grant_total_payouts</t>
  </si>
  <si>
    <t>monthly_gross_profit</t>
  </si>
  <si>
    <t>actual_sales - grand_total_payouts</t>
  </si>
  <si>
    <t>monthly_share</t>
  </si>
  <si>
    <t>Percentage - monthly_gross_profit / actual_sales</t>
  </si>
  <si>
    <t>average_monthly_payout</t>
  </si>
  <si>
    <t>total_barber_payouts/average_barbers_on_duty</t>
  </si>
  <si>
    <t>average_daily_payout</t>
  </si>
  <si>
    <t>average_monthly_payout / operational_days_count</t>
  </si>
  <si>
    <t>barber id from bph_barbers</t>
  </si>
  <si>
    <t>barber name from bph_barbers</t>
  </si>
  <si>
    <t>- dynamic populate of fields, from field1, field2…field~n
- total headcount of sales per month on assigned barber
- each field1 will be changed to period-year (Ex. Field1 = 01-2024, field2 = 02-2024)</t>
  </si>
  <si>
    <t>field~n</t>
  </si>
  <si>
    <t>Ex.</t>
  </si>
  <si>
    <t>Total Transactions per barber</t>
  </si>
  <si>
    <t>Total Transactions per barber (IN PESO)</t>
  </si>
  <si>
    <t>- dynamic populate of fields, from field1, field2…field~n
- total sales per month on assigned barber
- each field1 will be changed to period-year (Ex. Field1 = 01-2024, field2 = 02-2024)</t>
  </si>
  <si>
    <t>Detailed Breakdown per barber IN PESO</t>
  </si>
  <si>
    <t>date</t>
  </si>
  <si>
    <t>If a period/bucket selected, breakdown each dates under that month (For example, 01-2024 selected, retrieve all sales from Jan 1-31 or whatever barber is present within that period)</t>
  </si>
  <si>
    <t xml:space="preserve">amount per date </t>
  </si>
  <si>
    <t>get the commission assigned to barber, deduct amount - comission perctg</t>
  </si>
  <si>
    <t>commission_amount</t>
  </si>
  <si>
    <t>payment_method_id</t>
  </si>
  <si>
    <t>payment_method_name</t>
  </si>
  <si>
    <t>bank_number</t>
  </si>
  <si>
    <t>branch_id</t>
  </si>
  <si>
    <t>branch_owner</t>
  </si>
  <si>
    <t>established_at</t>
  </si>
  <si>
    <t>branch_location</t>
  </si>
  <si>
    <t>branch_address</t>
  </si>
  <si>
    <t>branch_image</t>
  </si>
  <si>
    <t>Social media page of branch/business</t>
  </si>
  <si>
    <t>bp</t>
  </si>
  <si>
    <t>_users</t>
  </si>
  <si>
    <t>Associated to table bph_users(n..1) &lt;-can be many branches owned by 1 user</t>
  </si>
  <si>
    <t>_barbers.barber_id</t>
  </si>
  <si>
    <t>associated from bph_barbers</t>
  </si>
  <si>
    <t>_barbers</t>
  </si>
  <si>
    <t>Branch owner/Software user/Kuya paul, also associated to _users.user_id</t>
  </si>
  <si>
    <t xml:space="preserve">Associated to table bph_barbers(1..n) </t>
  </si>
  <si>
    <t>_bph_barbers</t>
  </si>
  <si>
    <t>_bph_branches</t>
  </si>
  <si>
    <t>Associated table bph_barbers(1..1)</t>
  </si>
  <si>
    <t xml:space="preserve">Branch </t>
  </si>
  <si>
    <t>Refer to bph_branches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</si>
</sst>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 applyAlignment="1">
      <alignment wrapText="1"/>
    </xf>
    <xf numFmtId="0" fontId="3" fillId="0" borderId="0" xfId="1"/>
    <xf numFmtId="0" fontId="0" fillId="0" borderId="0" xfId="0" quotePrefix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274320</xdr:colOff>
      <xdr:row>8</xdr:row>
      <xdr:rowOff>38100</xdr:rowOff>
    </xdr:from>
    <xdr:to>
      <xdr:col>3</xdr:col>
      <xdr:colOff>1242670</xdr:colOff>
      <xdr:row>23</xdr:row>
      <xdr:rowOff>76441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4568B-7D8C-332A-4BD8-987C53F94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12720" y="2062843"/>
          <a:ext cx="7031693" cy="2814198"/>
        </a:xfrm>
        <a:prstGeom prst="rect">
          <a:avLst/>
        </a:prstGeom>
      </xdr:spPr>
    </xdr:pic>
    <xdr:clientData/>
  </xdr:twoCellAnchor>
  <xdr:twoCellAnchor editAs="oneCell">
    <xdr:from>
      <xdr:col>0</xdr:col>
      <xdr:colOff>43543</xdr:colOff>
      <xdr:row>33</xdr:row>
      <xdr:rowOff>76200</xdr:rowOff>
    </xdr:from>
    <xdr:to>
      <xdr:col>3</xdr:col>
      <xdr:colOff>1392926</xdr:colOff>
      <xdr:row>48</xdr:row>
      <xdr:rowOff>91679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FAAEBB-280C-90B6-4FCD-DEDFD49E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81943" y="7271657"/>
          <a:ext cx="7412726" cy="27913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D34151-25D2-41AC-A6C6-F0FF5690F2F8}" name="Table1" displayName="Table1" ref="A1:E19" totalsRowShown="0">
  <autoFilter ref="A1:E19" xr:uid="{D5D34151-25D2-41AC-A6C6-F0FF5690F2F8}"/>
  <tableColumns count="5">
    <tableColumn id="1" xr3:uid="{82ED4F94-2704-49D7-B699-1E11349A91B9}" name="Field name"/>
    <tableColumn id="2" xr3:uid="{4993D7BF-6142-4644-89A2-AB5D986077CA}" name="Key Field"/>
    <tableColumn id="3" xr3:uid="{E2DCFE41-80C0-4C48-A554-59A1D5B8525C}" name="Data Type"/>
    <tableColumn id="4" xr3:uid="{1E74B0A8-F942-4D14-86B1-351A31774F04}" name="Field Description"/>
    <tableColumn id="5" xr3:uid="{620D4A67-9A83-4376-BA20-3792725B937B}" name="Referenc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53E77E-09D7-4913-966F-9403CFBD6C40}" name="Table134" displayName="Table134" ref="A22:E33" totalsRowShown="0">
  <autoFilter ref="A22:E33" xr:uid="{5453E77E-09D7-4913-966F-9403CFBD6C40}"/>
  <tableColumns count="5">
    <tableColumn id="1" xr3:uid="{CC752DA3-0922-4994-84D1-834836FB1529}" name="Field name"/>
    <tableColumn id="2" xr3:uid="{8D09B6E3-1E7F-47F2-90C8-D5ADDAF6BEE7}" name="Key Field"/>
    <tableColumn id="3" xr3:uid="{E32FF198-988C-461D-89F8-749CE8955F50}" name="Data Type"/>
    <tableColumn id="4" xr3:uid="{C38CCBBF-73EE-483E-94B2-96C86A9E470F}" name="Field Description"/>
    <tableColumn id="5" xr3:uid="{7826CF3B-99DD-4FBB-858F-21DDB063AE4E}" name="Referenc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BE39E2-7E4C-4D21-B245-0905E17FBCCE}" name="Table4" displayName="Table4" ref="A1:E9" totalsRowShown="0">
  <autoFilter ref="A1:E9" xr:uid="{1DBE39E2-7E4C-4D21-B245-0905E17FBCCE}"/>
  <tableColumns count="5">
    <tableColumn id="1" xr3:uid="{02BBD964-C763-4D76-83CA-99DC58E31AC8}" name="Field name"/>
    <tableColumn id="2" xr3:uid="{63C72E67-6DA5-44DE-88F4-7196F7723ACE}" name="Key Field"/>
    <tableColumn id="3" xr3:uid="{56B91486-7D99-44F0-A254-A3787E866E38}" name="Data Type"/>
    <tableColumn id="4" xr3:uid="{E9B70E20-2FE5-4E6B-A905-E49EB1D612A8}" name="Field Description"/>
    <tableColumn id="5" xr3:uid="{E1811F5E-31D1-4952-97A0-1DDCDBCF7268}" name="Refe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EE3E76-E3B0-40D8-BA86-0D40173CCFB6}" name="Table5" displayName="Table5" ref="A17:E18" totalsRowShown="0">
  <autoFilter ref="A17:E18" xr:uid="{2DEE3E76-E3B0-40D8-BA86-0D40173CCFB6}"/>
  <tableColumns count="5">
    <tableColumn id="1" xr3:uid="{B85556E8-643F-4AC3-ADBD-8EA682D0C122}" name="Field name" dataCellStyle="Hyperlink"/>
    <tableColumn id="2" xr3:uid="{2E61CAA2-677A-4526-AE5D-0F7E29871016}" name="Key Field"/>
    <tableColumn id="3" xr3:uid="{B17211BE-F6B6-42B8-B3B8-29B3EBC11FDB}" name="Data Type"/>
    <tableColumn id="4" xr3:uid="{337DBA12-DA8A-4687-A3A3-9A8948044B78}" name="Field Description"/>
    <tableColumn id="5" xr3:uid="{40EE9478-F291-46AC-9E32-B2577B0CADA3}" name="Referenc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011BD77-C39C-4094-8A0A-0AEC15B11E44}" name="Table58915" displayName="Table58915" ref="A12:E13" totalsRowShown="0">
  <autoFilter ref="A12:E13" xr:uid="{5011BD77-C39C-4094-8A0A-0AEC15B11E44}"/>
  <tableColumns count="5">
    <tableColumn id="1" xr3:uid="{0A44791C-06EB-439B-BF67-635ECB4E7044}" name="Field name"/>
    <tableColumn id="2" xr3:uid="{96081EDF-7846-4A30-92BF-31236B0BC082}" name="Key Field"/>
    <tableColumn id="3" xr3:uid="{D45C04AF-92FB-4CFD-AF90-F2976FD23723}" name="Data Type"/>
    <tableColumn id="4" xr3:uid="{0F065C51-065B-4670-8C6A-9211A7963AF7}" name="Field Description"/>
    <tableColumn id="5" xr3:uid="{E0860E70-5C83-4D77-A43E-78ECB1FCCF4D}" name="Referenc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D65ACDF-DBF2-45C5-B17D-4BACC2A5B0CD}" name="Table6" displayName="Table6" ref="A1:E5" totalsRowShown="0">
  <autoFilter ref="A1:E5" xr:uid="{5D65ACDF-DBF2-45C5-B17D-4BACC2A5B0CD}"/>
  <tableColumns count="5">
    <tableColumn id="1" xr3:uid="{2F620761-5099-4E8A-B5FF-DFD3698CDDD1}" name="Field name"/>
    <tableColumn id="2" xr3:uid="{9B6282DA-7213-4BF3-B677-086D6989DA9D}" name="Key Field"/>
    <tableColumn id="3" xr3:uid="{4D440E6B-46D6-4672-9A4F-2D3DF1C3C222}" name="Data Type"/>
    <tableColumn id="4" xr3:uid="{D19D8110-1FCA-446B-938A-DECA551D38C9}" name="Field Description"/>
    <tableColumn id="5" xr3:uid="{91A2D6EC-D837-4120-AC92-8D49E572575B}" name="Referenc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76ABA-8BC9-4321-9E53-A76D8B0F0EB6}" name="Table53" displayName="Table53" ref="A13:E14" totalsRowShown="0">
  <autoFilter ref="A13:E14" xr:uid="{60976ABA-8BC9-4321-9E53-A76D8B0F0EB6}"/>
  <tableColumns count="5">
    <tableColumn id="1" xr3:uid="{6EC0A263-E30C-41C2-AB4F-50E13862AE8E}" name="Field name"/>
    <tableColumn id="2" xr3:uid="{00C06E0F-AF52-4BC8-935B-34880B9A7BBA}" name="Key Field"/>
    <tableColumn id="3" xr3:uid="{9E5B9808-5150-4BE4-B735-AF48AD029E28}" name="Data Type"/>
    <tableColumn id="4" xr3:uid="{BB5652BB-7F01-463E-86E7-F67F93F9099A}" name="Field Description"/>
    <tableColumn id="5" xr3:uid="{34DE109E-8ED9-48C0-9178-21C90209C253}" name="Referenc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D9CEB6-BFB9-4A53-8415-2C038F5FCC00}" name="Table589" displayName="Table589" ref="A8:E10" totalsRowShown="0">
  <autoFilter ref="A8:E10" xr:uid="{7BD9CEB6-BFB9-4A53-8415-2C038F5FCC00}"/>
  <tableColumns count="5">
    <tableColumn id="1" xr3:uid="{94853F0B-E5B5-4EDD-B3DE-FFF30D737814}" name="Field name"/>
    <tableColumn id="2" xr3:uid="{E2706FC0-BCA5-4E5C-85DE-FC16629DF698}" name="Key Field"/>
    <tableColumn id="3" xr3:uid="{1F5E6A16-DB41-4C59-9F7F-8C4F5352A2EF}" name="Data Type"/>
    <tableColumn id="4" xr3:uid="{5876050D-2182-4095-BDB0-E4F24A803CDD}" name="Field Description"/>
    <tableColumn id="5" xr3:uid="{557C3B12-5122-4BAC-B83A-1AB7EF940D5C}" name="Referenc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9CE315F-7CE6-43F2-8126-4AFC36D3AFF0}" name="Table41025" displayName="Table41025" ref="A1:E8" totalsRowShown="0">
  <autoFilter ref="A1:E8" xr:uid="{A9CE315F-7CE6-43F2-8126-4AFC36D3AFF0}"/>
  <tableColumns count="5">
    <tableColumn id="1" xr3:uid="{E7BDFC9A-659B-4420-85E7-B8E658077134}" name="Field name"/>
    <tableColumn id="2" xr3:uid="{B77B1B99-BC7E-4922-A63A-CEB2BE117EE5}" name="Key Field"/>
    <tableColumn id="3" xr3:uid="{211F7EC3-7699-450C-81F2-D8EF5C29F6D4}" name="Data Type"/>
    <tableColumn id="4" xr3:uid="{87480082-9721-479A-A7BA-A5AF3D01459B}" name="Field Description"/>
    <tableColumn id="5" xr3:uid="{21F1DB13-2926-4E75-B47A-C02182635853}" name="Referenc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E943AF-2AD5-4704-80A9-1D4FB38F43C0}" name="Table5326" displayName="Table5326" ref="A15:E17" totalsRowShown="0">
  <autoFilter ref="A15:E17" xr:uid="{EDE943AF-2AD5-4704-80A9-1D4FB38F43C0}"/>
  <tableColumns count="5">
    <tableColumn id="1" xr3:uid="{8C51738E-42FC-4CBF-9B54-43A126E35012}" name="Field name"/>
    <tableColumn id="2" xr3:uid="{BF7A78E6-CF4C-4AF8-A99E-B81A57E373E3}" name="Key Field"/>
    <tableColumn id="3" xr3:uid="{B2D75DE6-53AF-49D9-BE1F-CD6ECB2FAEB2}" name="Data Type"/>
    <tableColumn id="4" xr3:uid="{27DAFADB-C846-488B-8B9A-1E78DBAD0B36}" name="Field Description"/>
    <tableColumn id="5" xr3:uid="{10D6B8C7-286F-4CA3-AB00-BA995CF2DA16}" name="Referen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19AF142-C874-4F8C-853C-21B1D3AD6D0B}" name="Table58927" displayName="Table58927" ref="A11:E12" totalsRowShown="0">
  <autoFilter ref="A11:E12" xr:uid="{219AF142-C874-4F8C-853C-21B1D3AD6D0B}"/>
  <tableColumns count="5">
    <tableColumn id="1" xr3:uid="{8ADE9C42-3443-4BAD-AFB2-A8E85B828263}" name="Field name"/>
    <tableColumn id="2" xr3:uid="{D4A11C5D-6FC5-4B6F-BDD4-E23E23D6DCFB}" name="Key Field"/>
    <tableColumn id="3" xr3:uid="{93E08A9C-1EAD-4EB1-ACFC-5CD1EBE971FB}" name="Data Type"/>
    <tableColumn id="4" xr3:uid="{42EF1D60-1D04-49CE-8966-9F407D00E414}" name="Field Description"/>
    <tableColumn id="5" xr3:uid="{06CF2767-9060-485C-AB76-4EA76E37873F}" name="Referen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84EF9D-509B-4B29-99C4-F27211DA5640}" name="Table410" displayName="Table410" ref="A1:E9" totalsRowShown="0">
  <autoFilter ref="A1:E9" xr:uid="{2384EF9D-509B-4B29-99C4-F27211DA5640}"/>
  <tableColumns count="5">
    <tableColumn id="1" xr3:uid="{5CE3D791-9F42-4E4C-8C1F-BD9AC5C7FB72}" name="Field name"/>
    <tableColumn id="2" xr3:uid="{D55245B0-6E63-4F32-9DA0-33CE1E7BE562}" name="Key Field"/>
    <tableColumn id="3" xr3:uid="{596394E5-4A1B-4E29-8676-0A3D9C9A9B91}" name="Data Type"/>
    <tableColumn id="4" xr3:uid="{E35F1011-6BF7-4748-8EB8-C015CE72FD1F}" name="Field Description"/>
    <tableColumn id="5" xr3:uid="{7F449A38-08B3-4033-A6CC-82C525F8DF60}" name="Referenc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96E8CA6-4804-45C6-A137-AB7E5AEBC1D7}" name="Table611" displayName="Table611" ref="A1:E17" totalsRowShown="0">
  <autoFilter ref="A1:E17" xr:uid="{796E8CA6-4804-45C6-A137-AB7E5AEBC1D7}"/>
  <tableColumns count="5">
    <tableColumn id="1" xr3:uid="{252F31DA-790D-4824-BC1F-25A85CE4408D}" name="Field name"/>
    <tableColumn id="2" xr3:uid="{F0B9C41F-3B91-4DB3-B81E-6B21D6C5FF80}" name="Key Field"/>
    <tableColumn id="3" xr3:uid="{98FA370C-0903-4047-894E-AF769B54CC89}" name="Data Type"/>
    <tableColumn id="4" xr3:uid="{365C56E8-F33C-442E-A150-5496F766D09B}" name="Field Description"/>
    <tableColumn id="5" xr3:uid="{81EE3FE6-960F-4BC9-B202-DB05623DE038}" name="Referenc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0EE84B-EC88-4626-A2F8-553BDCD59089}" name="Table61112" displayName="Table61112" ref="A1:E3" totalsRowShown="0">
  <autoFilter ref="A1:E3" xr:uid="{840EE84B-EC88-4626-A2F8-553BDCD59089}"/>
  <tableColumns count="5">
    <tableColumn id="1" xr3:uid="{A256B0A0-D2A8-40B0-94BD-51FA1CE3F567}" name="Field name"/>
    <tableColumn id="2" xr3:uid="{F5AE6A73-B43E-498D-8B32-4B4A235191FD}" name="Key Field"/>
    <tableColumn id="3" xr3:uid="{120CE461-79A5-439E-86E0-F50902E39F64}" name="Data Type"/>
    <tableColumn id="4" xr3:uid="{80BC86F8-D713-424D-B68A-F282E263BD50}" name="Field Description"/>
    <tableColumn id="5" xr3:uid="{677585C2-0A9D-487C-B864-CA9B0467E09D}" name="Referenc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20FE114-6E0E-4FF4-9A9B-66BD88B9FF8B}" name="Table6111224" displayName="Table6111224" ref="P1:T4" totalsRowShown="0">
  <autoFilter ref="P1:T4" xr:uid="{720FE114-6E0E-4FF4-9A9B-66BD88B9FF8B}"/>
  <tableColumns count="5">
    <tableColumn id="1" xr3:uid="{17ACC9B7-31EC-43F2-9166-A96DD91C26A2}" name="Field name"/>
    <tableColumn id="2" xr3:uid="{BCB6579F-6937-4B7B-A603-796D3B1B399D}" name="Key Field"/>
    <tableColumn id="3" xr3:uid="{FCAEE8C0-E039-4821-9BBE-866013FC94B1}" name="Data Type"/>
    <tableColumn id="4" xr3:uid="{0FB2A451-9FB5-4524-A1F1-3735A07FF861}" name="Field Description"/>
    <tableColumn id="5" xr3:uid="{EC79FDC1-A616-484A-9097-6BBDA23F9423}" name="Referenc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F56260-FD82-45B1-8F30-057903553B26}" name="Table61113" displayName="Table61113" ref="A1:E13" totalsRowShown="0">
  <autoFilter ref="A1:E13" xr:uid="{8BF56260-FD82-45B1-8F30-057903553B26}"/>
  <tableColumns count="5">
    <tableColumn id="1" xr3:uid="{3DF653D4-0B8E-4751-8961-668388ED9326}" name="Field name"/>
    <tableColumn id="2" xr3:uid="{2CF2BDB9-EDEC-48EA-8575-0AAAF06C53C4}" name="Key Field"/>
    <tableColumn id="3" xr3:uid="{B41A7902-5F78-486E-8644-07262DBECAC1}" name="Data Type"/>
    <tableColumn id="4" xr3:uid="{6410AF80-E172-4CF4-941A-94A5F04629A4}" name="Field Description"/>
    <tableColumn id="5" xr3:uid="{34C7153A-8E8C-4496-A356-9F268B3B6692}" name="Referenc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DAD1DFB-DF08-4978-A86A-AF94D184DC02}" name="Table6111314" displayName="Table6111314" ref="A1:E8" totalsRowShown="0">
  <autoFilter ref="A1:E8" xr:uid="{8DAD1DFB-DF08-4978-A86A-AF94D184DC02}"/>
  <tableColumns count="5">
    <tableColumn id="1" xr3:uid="{37E6D0C8-A912-4D43-A2AC-8A994592D889}" name="Field name"/>
    <tableColumn id="2" xr3:uid="{370A1B0C-F2F9-43CB-889D-72E8F7961B30}" name="Key Field"/>
    <tableColumn id="3" xr3:uid="{E4F2A481-A741-4BBC-89DA-6D495C1E712D}" name="Data Type"/>
    <tableColumn id="4" xr3:uid="{51CEFDAA-66D8-4F60-8D12-43BA79873951}" name="Field Description"/>
    <tableColumn id="5" xr3:uid="{7ECFBAC1-1FDC-4AA3-98D3-D642A39CD8DD}" name="Referenc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2A36A7C-0010-4B1C-B82E-2C07F5A4E0D5}" name="Table61113141617" displayName="Table61113141617" ref="A1:D20" totalsRowShown="0">
  <autoFilter ref="A1:D20" xr:uid="{32A36A7C-0010-4B1C-B82E-2C07F5A4E0D5}"/>
  <tableColumns count="4">
    <tableColumn id="1" xr3:uid="{19ADEADC-4305-4F60-BF89-772AB1AAE84C}" name="Field name"/>
    <tableColumn id="3" xr3:uid="{54469028-CF4C-42D4-9B28-4DDC7655CAEC}" name="Data Type"/>
    <tableColumn id="4" xr3:uid="{93A314C6-D910-473C-9127-357DA2F5F51F}" name="Field Description"/>
    <tableColumn id="5" xr3:uid="{0E6F2903-6F2B-4543-8671-F5FB831A06BD}" name="Referenc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9E1E72-9E7E-4EE0-8083-CFE40BDD92ED}" name="Table6111314161718" displayName="Table6111314161718" ref="A3:D6" totalsRowShown="0">
  <autoFilter ref="A3:D6" xr:uid="{7F9E1E72-9E7E-4EE0-8083-CFE40BDD92ED}"/>
  <tableColumns count="4">
    <tableColumn id="1" xr3:uid="{F1538AB8-99B9-434A-84EB-E5F8D66E61D9}" name="Field name"/>
    <tableColumn id="3" xr3:uid="{5118C102-D958-4345-B136-D4598B98B071}" name="Data Type"/>
    <tableColumn id="4" xr3:uid="{2C0AB082-222C-4212-8DD0-EE181CEA3749}" name="Field Description"/>
    <tableColumn id="5" xr3:uid="{DBDB7830-EE16-4CE8-831C-98F26FE00098}" name="Referenc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EC96C9-10CA-4F10-963A-46AC92E86D89}" name="Table611131416171819" displayName="Table611131416171819" ref="A28:D31" totalsRowShown="0">
  <autoFilter ref="A28:D31" xr:uid="{29EC96C9-10CA-4F10-963A-46AC92E86D89}"/>
  <tableColumns count="4">
    <tableColumn id="1" xr3:uid="{A2F1E028-D799-4A65-8D8C-197B7F8C13B3}" name="Field name"/>
    <tableColumn id="3" xr3:uid="{7E244C28-69B6-43AE-8A13-073B0054E15E}" name="Data Type"/>
    <tableColumn id="4" xr3:uid="{0B8435E9-49F2-4EAA-8461-49D5BA16EF2D}" name="Field Description"/>
    <tableColumn id="5" xr3:uid="{D969D6CF-4468-4B20-8A88-198014AB6FF6}" name="Reference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994131F-54E5-4FB5-9367-113D27B3970D}" name="Table61113141617181923" displayName="Table61113141617181923" ref="F28:I33" totalsRowShown="0">
  <autoFilter ref="F28:I33" xr:uid="{7994131F-54E5-4FB5-9367-113D27B3970D}"/>
  <tableColumns count="4">
    <tableColumn id="1" xr3:uid="{F8F06CD2-82A3-491D-A93A-7F590533E65F}" name="Field name"/>
    <tableColumn id="3" xr3:uid="{8AD74FF8-A4BC-4296-B410-9477D5664017}" name="Data Type"/>
    <tableColumn id="4" xr3:uid="{736864A0-7114-4FE9-B2B1-D35031CB84F3}" name="Field Description"/>
    <tableColumn id="5" xr3:uid="{65DA00C7-728E-4399-B82F-1AC828D24FBA}" name="Reference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9E1221E-0EAF-4C52-977E-E32AE4148F3A}" name="Table611131416" displayName="Table611131416" ref="A1:D12" totalsRowShown="0">
  <autoFilter ref="A1:D12" xr:uid="{C9E1221E-0EAF-4C52-977E-E32AE4148F3A}"/>
  <tableColumns count="4">
    <tableColumn id="1" xr3:uid="{0EDF5DF8-2E55-4170-A433-686136BDE870}" name="Field name"/>
    <tableColumn id="3" xr3:uid="{237318B5-7737-4547-B5ED-8A6A3692ACC7}" name="Data Type"/>
    <tableColumn id="4" xr3:uid="{741420DA-3FF7-4255-A668-FDB8A316454C}" name="Field Description"/>
    <tableColumn id="5" xr3:uid="{5742816B-36A7-4B05-8909-A41A0D055DF5}" name="Refere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drawing" Target="../drawings/drawing1.xml"/><Relationship Id="rId4" Type="http://schemas.openxmlformats.org/officeDocument/2006/relationships/table" Target="../tables/table2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C23E3-89D8-4327-BCC9-C11ACD949EF2}">
  <dimension ref="A1:E44"/>
  <sheetViews>
    <sheetView tabSelected="1" topLeftCell="A28" zoomScale="85" zoomScaleNormal="85" workbookViewId="0">
      <selection activeCell="F9" sqref="F9"/>
    </sheetView>
  </sheetViews>
  <sheetFormatPr defaultRowHeight="14.4" x14ac:dyDescent="0.3"/>
  <cols>
    <col min="1" max="1" width="29.109375" customWidth="1"/>
    <col min="2" max="2" width="17.21875" customWidth="1"/>
    <col min="3" max="3" width="20.5546875" customWidth="1"/>
    <col min="4" max="4" width="55.5546875" customWidth="1"/>
    <col min="5" max="5" width="28.88671875" customWidth="1"/>
    <col min="7" max="7" width="21.6640625" customWidth="1"/>
    <col min="8" max="8" width="22.88671875" customWidth="1"/>
    <col min="9" max="9" width="17.77734375" customWidth="1"/>
    <col min="10" max="10" width="37.88671875" customWidth="1"/>
    <col min="11" max="11" width="22.8867187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11</v>
      </c>
      <c r="B2" t="s">
        <v>5</v>
      </c>
      <c r="C2" t="s">
        <v>9</v>
      </c>
      <c r="D2" t="s">
        <v>10</v>
      </c>
    </row>
    <row r="3" spans="1:5" x14ac:dyDescent="0.3">
      <c r="A3" t="s">
        <v>12</v>
      </c>
      <c r="B3" t="s">
        <v>5</v>
      </c>
      <c r="C3" t="s">
        <v>7</v>
      </c>
      <c r="D3" t="s">
        <v>8</v>
      </c>
    </row>
    <row r="4" spans="1:5" x14ac:dyDescent="0.3">
      <c r="A4" t="s">
        <v>13</v>
      </c>
      <c r="B4" t="s">
        <v>5</v>
      </c>
      <c r="C4" t="s">
        <v>9</v>
      </c>
      <c r="D4" t="s">
        <v>14</v>
      </c>
      <c r="E4" t="s">
        <v>15</v>
      </c>
    </row>
    <row r="5" spans="1:5" x14ac:dyDescent="0.3">
      <c r="A5" t="s">
        <v>245</v>
      </c>
      <c r="B5" t="s">
        <v>5</v>
      </c>
      <c r="C5" t="s">
        <v>9</v>
      </c>
      <c r="D5" t="s">
        <v>263</v>
      </c>
      <c r="E5" t="s">
        <v>264</v>
      </c>
    </row>
    <row r="6" spans="1:5" x14ac:dyDescent="0.3">
      <c r="A6" t="s">
        <v>16</v>
      </c>
      <c r="B6" t="s">
        <v>5</v>
      </c>
      <c r="C6" t="s">
        <v>9</v>
      </c>
      <c r="D6" t="s">
        <v>17</v>
      </c>
      <c r="E6" t="s">
        <v>18</v>
      </c>
    </row>
    <row r="7" spans="1:5" x14ac:dyDescent="0.3">
      <c r="A7" t="s">
        <v>46</v>
      </c>
      <c r="B7" t="s">
        <v>5</v>
      </c>
      <c r="C7" t="s">
        <v>9</v>
      </c>
      <c r="D7" t="s">
        <v>19</v>
      </c>
      <c r="E7" t="s">
        <v>20</v>
      </c>
    </row>
    <row r="8" spans="1:5" x14ac:dyDescent="0.3">
      <c r="A8" t="s">
        <v>35</v>
      </c>
      <c r="B8" t="s">
        <v>21</v>
      </c>
      <c r="C8" t="s">
        <v>9</v>
      </c>
      <c r="D8" t="s">
        <v>37</v>
      </c>
      <c r="E8" t="s">
        <v>36</v>
      </c>
    </row>
    <row r="9" spans="1:5" x14ac:dyDescent="0.3">
      <c r="A9" t="s">
        <v>38</v>
      </c>
      <c r="B9" t="s">
        <v>21</v>
      </c>
      <c r="C9" t="s">
        <v>9</v>
      </c>
      <c r="D9" t="s">
        <v>39</v>
      </c>
    </row>
    <row r="10" spans="1:5" x14ac:dyDescent="0.3">
      <c r="A10" t="s">
        <v>166</v>
      </c>
      <c r="B10" t="s">
        <v>21</v>
      </c>
      <c r="C10" t="s">
        <v>41</v>
      </c>
      <c r="D10" t="s">
        <v>167</v>
      </c>
    </row>
    <row r="11" spans="1:5" x14ac:dyDescent="0.3">
      <c r="A11" t="s">
        <v>165</v>
      </c>
      <c r="B11" t="s">
        <v>168</v>
      </c>
      <c r="C11" t="s">
        <v>41</v>
      </c>
      <c r="D11" t="s">
        <v>169</v>
      </c>
    </row>
    <row r="12" spans="1:5" x14ac:dyDescent="0.3">
      <c r="A12" t="s">
        <v>170</v>
      </c>
      <c r="B12" t="s">
        <v>21</v>
      </c>
      <c r="C12" t="s">
        <v>41</v>
      </c>
      <c r="D12" t="s">
        <v>171</v>
      </c>
    </row>
    <row r="13" spans="1:5" x14ac:dyDescent="0.3">
      <c r="A13" t="s">
        <v>172</v>
      </c>
      <c r="B13" t="s">
        <v>21</v>
      </c>
      <c r="C13" t="s">
        <v>41</v>
      </c>
      <c r="D13" t="s">
        <v>173</v>
      </c>
    </row>
    <row r="14" spans="1:5" x14ac:dyDescent="0.3">
      <c r="A14" t="s">
        <v>174</v>
      </c>
      <c r="B14" t="s">
        <v>21</v>
      </c>
      <c r="C14" t="s">
        <v>41</v>
      </c>
      <c r="D14" t="s">
        <v>175</v>
      </c>
    </row>
    <row r="15" spans="1:5" x14ac:dyDescent="0.3">
      <c r="A15" t="s">
        <v>176</v>
      </c>
      <c r="B15" t="s">
        <v>21</v>
      </c>
      <c r="C15" t="s">
        <v>41</v>
      </c>
      <c r="D15" t="s">
        <v>177</v>
      </c>
    </row>
    <row r="16" spans="1:5" x14ac:dyDescent="0.3">
      <c r="A16" t="s">
        <v>178</v>
      </c>
      <c r="B16" t="s">
        <v>21</v>
      </c>
      <c r="C16" t="s">
        <v>41</v>
      </c>
      <c r="D16" t="s">
        <v>179</v>
      </c>
    </row>
    <row r="17" spans="1:5" x14ac:dyDescent="0.3">
      <c r="A17" t="s">
        <v>180</v>
      </c>
      <c r="B17" t="s">
        <v>21</v>
      </c>
      <c r="C17" t="s">
        <v>41</v>
      </c>
      <c r="D17" t="s">
        <v>181</v>
      </c>
    </row>
    <row r="18" spans="1:5" x14ac:dyDescent="0.3">
      <c r="A18" t="s">
        <v>182</v>
      </c>
      <c r="B18" t="s">
        <v>21</v>
      </c>
      <c r="C18" t="s">
        <v>41</v>
      </c>
      <c r="D18" t="s">
        <v>183</v>
      </c>
    </row>
    <row r="19" spans="1:5" x14ac:dyDescent="0.3">
      <c r="A19" t="s">
        <v>207</v>
      </c>
      <c r="B19" t="s">
        <v>21</v>
      </c>
      <c r="C19" t="s">
        <v>9</v>
      </c>
      <c r="D19" t="s">
        <v>208</v>
      </c>
    </row>
    <row r="21" spans="1:5" x14ac:dyDescent="0.3">
      <c r="A21" s="10" t="s">
        <v>6</v>
      </c>
    </row>
    <row r="22" spans="1:5" x14ac:dyDescent="0.3">
      <c r="A22" t="s">
        <v>4</v>
      </c>
      <c r="B22" t="s">
        <v>0</v>
      </c>
      <c r="C22" t="s">
        <v>1</v>
      </c>
      <c r="D22" t="s">
        <v>2</v>
      </c>
      <c r="E22" t="s">
        <v>3</v>
      </c>
    </row>
    <row r="23" spans="1:5" x14ac:dyDescent="0.3">
      <c r="A23" t="s">
        <v>26</v>
      </c>
      <c r="B23" t="s">
        <v>21</v>
      </c>
      <c r="C23" t="s">
        <v>9</v>
      </c>
      <c r="D23" t="s">
        <v>22</v>
      </c>
    </row>
    <row r="24" spans="1:5" x14ac:dyDescent="0.3">
      <c r="A24" t="s">
        <v>27</v>
      </c>
      <c r="B24" t="s">
        <v>21</v>
      </c>
      <c r="C24" t="s">
        <v>9</v>
      </c>
      <c r="D24" t="s">
        <v>29</v>
      </c>
    </row>
    <row r="25" spans="1:5" x14ac:dyDescent="0.3">
      <c r="A25" t="s">
        <v>28</v>
      </c>
      <c r="B25" t="s">
        <v>21</v>
      </c>
      <c r="C25" t="s">
        <v>9</v>
      </c>
      <c r="D25" t="s">
        <v>23</v>
      </c>
    </row>
    <row r="26" spans="1:5" x14ac:dyDescent="0.3">
      <c r="A26" t="s">
        <v>30</v>
      </c>
      <c r="B26" t="s">
        <v>21</v>
      </c>
      <c r="C26" t="s">
        <v>9</v>
      </c>
      <c r="D26" t="s">
        <v>24</v>
      </c>
    </row>
    <row r="27" spans="1:5" x14ac:dyDescent="0.3">
      <c r="A27" t="s">
        <v>31</v>
      </c>
      <c r="B27" t="s">
        <v>21</v>
      </c>
      <c r="C27" t="s">
        <v>9</v>
      </c>
      <c r="D27" t="s">
        <v>47</v>
      </c>
      <c r="E27" t="s">
        <v>20</v>
      </c>
    </row>
    <row r="28" spans="1:5" x14ac:dyDescent="0.3">
      <c r="A28" t="s">
        <v>32</v>
      </c>
      <c r="B28" t="s">
        <v>21</v>
      </c>
      <c r="C28" t="s">
        <v>9</v>
      </c>
      <c r="D28" t="s">
        <v>47</v>
      </c>
      <c r="E28" t="s">
        <v>20</v>
      </c>
    </row>
    <row r="29" spans="1:5" ht="28.8" x14ac:dyDescent="0.3">
      <c r="A29" t="s">
        <v>33</v>
      </c>
      <c r="B29" t="s">
        <v>21</v>
      </c>
      <c r="C29" t="s">
        <v>34</v>
      </c>
      <c r="D29" s="11" t="s">
        <v>71</v>
      </c>
      <c r="E29" t="s">
        <v>20</v>
      </c>
    </row>
    <row r="30" spans="1:5" x14ac:dyDescent="0.3">
      <c r="A30" t="s">
        <v>82</v>
      </c>
      <c r="B30" t="s">
        <v>21</v>
      </c>
      <c r="C30" t="s">
        <v>9</v>
      </c>
      <c r="D30" t="s">
        <v>40</v>
      </c>
      <c r="E30" t="s">
        <v>15</v>
      </c>
    </row>
    <row r="31" spans="1:5" x14ac:dyDescent="0.3">
      <c r="A31" t="s">
        <v>83</v>
      </c>
      <c r="B31" t="s">
        <v>21</v>
      </c>
      <c r="C31" t="s">
        <v>9</v>
      </c>
      <c r="D31" t="s">
        <v>40</v>
      </c>
      <c r="E31" t="s">
        <v>15</v>
      </c>
    </row>
    <row r="32" spans="1:5" x14ac:dyDescent="0.3">
      <c r="A32" t="s">
        <v>84</v>
      </c>
      <c r="B32" t="s">
        <v>21</v>
      </c>
      <c r="C32" t="s">
        <v>41</v>
      </c>
      <c r="D32" t="s">
        <v>42</v>
      </c>
      <c r="E32" t="s">
        <v>15</v>
      </c>
    </row>
    <row r="33" spans="1:5" x14ac:dyDescent="0.3">
      <c r="A33" t="s">
        <v>43</v>
      </c>
      <c r="B33" t="s">
        <v>21</v>
      </c>
      <c r="C33" t="s">
        <v>44</v>
      </c>
      <c r="D33" t="s">
        <v>45</v>
      </c>
    </row>
    <row r="36" spans="1:5" x14ac:dyDescent="0.3">
      <c r="A36" t="s">
        <v>54</v>
      </c>
    </row>
    <row r="37" spans="1:5" x14ac:dyDescent="0.3">
      <c r="A37" s="1" t="s">
        <v>4</v>
      </c>
      <c r="B37" s="2" t="s">
        <v>0</v>
      </c>
      <c r="C37" s="2" t="s">
        <v>1</v>
      </c>
      <c r="D37" s="2" t="s">
        <v>2</v>
      </c>
      <c r="E37" s="3" t="s">
        <v>3</v>
      </c>
    </row>
    <row r="38" spans="1:5" x14ac:dyDescent="0.3">
      <c r="A38" s="4" t="s">
        <v>55</v>
      </c>
      <c r="B38" s="5" t="s">
        <v>21</v>
      </c>
      <c r="C38" s="5" t="s">
        <v>54</v>
      </c>
      <c r="D38" s="5" t="s">
        <v>57</v>
      </c>
      <c r="E38" s="6"/>
    </row>
    <row r="39" spans="1:5" x14ac:dyDescent="0.3">
      <c r="A39" s="7" t="s">
        <v>59</v>
      </c>
      <c r="B39" s="8" t="s">
        <v>21</v>
      </c>
      <c r="C39" s="8" t="s">
        <v>54</v>
      </c>
      <c r="D39" s="9" t="s">
        <v>58</v>
      </c>
      <c r="E39" s="9"/>
    </row>
    <row r="40" spans="1:5" x14ac:dyDescent="0.3">
      <c r="A40" s="4" t="s">
        <v>60</v>
      </c>
      <c r="B40" s="5" t="s">
        <v>21</v>
      </c>
      <c r="C40" s="5" t="s">
        <v>54</v>
      </c>
      <c r="D40" s="5" t="s">
        <v>56</v>
      </c>
      <c r="E40" s="6"/>
    </row>
    <row r="41" spans="1:5" x14ac:dyDescent="0.3">
      <c r="A41" s="7" t="s">
        <v>260</v>
      </c>
      <c r="B41" s="8" t="s">
        <v>21</v>
      </c>
      <c r="C41" s="8" t="s">
        <v>54</v>
      </c>
      <c r="D41" s="9" t="s">
        <v>85</v>
      </c>
      <c r="E41" s="9"/>
    </row>
    <row r="42" spans="1:5" x14ac:dyDescent="0.3">
      <c r="A42" s="4" t="s">
        <v>100</v>
      </c>
      <c r="B42" s="5" t="s">
        <v>21</v>
      </c>
      <c r="C42" s="5" t="s">
        <v>54</v>
      </c>
      <c r="D42" s="5" t="s">
        <v>101</v>
      </c>
      <c r="E42" s="6"/>
    </row>
    <row r="43" spans="1:5" x14ac:dyDescent="0.3">
      <c r="A43" s="7" t="s">
        <v>69</v>
      </c>
      <c r="B43" s="8" t="s">
        <v>21</v>
      </c>
      <c r="C43" s="8" t="s">
        <v>54</v>
      </c>
      <c r="D43" s="9" t="s">
        <v>102</v>
      </c>
      <c r="E43" s="9"/>
    </row>
    <row r="44" spans="1:5" x14ac:dyDescent="0.3">
      <c r="A44" s="4" t="s">
        <v>261</v>
      </c>
      <c r="B44" s="5" t="s">
        <v>21</v>
      </c>
      <c r="C44" s="5" t="s">
        <v>54</v>
      </c>
      <c r="D44" s="9" t="s">
        <v>262</v>
      </c>
      <c r="E44" s="6"/>
    </row>
  </sheetData>
  <dataValidations count="4">
    <dataValidation type="list" allowBlank="1" showInputMessage="1" showErrorMessage="1" sqref="I4:I10 C2:C6 C8 C23:C28 C38:C44" xr:uid="{576BC8CF-B9C2-44AC-9E23-4C6D1DB38B39}">
      <formula1>"String, Integer, Blob, Guid, Association, Datetime, Date"</formula1>
    </dataValidation>
    <dataValidation type="list" allowBlank="1" showInputMessage="1" showErrorMessage="1" sqref="H4:H15 B23:B33 B38:B44 B2:B20" xr:uid="{DF21E2B1-55FB-4B63-BBF9-984419CDA392}">
      <formula1>"Yes, No"</formula1>
    </dataValidation>
    <dataValidation type="list" allowBlank="1" showInputMessage="1" showErrorMessage="1" sqref="C7 I11:I14 C29:C32" xr:uid="{1DE097BB-7C85-46DE-9A6D-D72BA848BD17}">
      <formula1>"String, Integer, Blob, Guid, Association, Datetime, Date, Decimal"</formula1>
    </dataValidation>
    <dataValidation type="list" allowBlank="1" showInputMessage="1" showErrorMessage="1" sqref="I15 C33" xr:uid="{31D1C9F7-40DC-4BC8-945B-ADC000F6BBC0}">
      <formula1>"String, Integer, Boolean, Blob, Guid, Association, Datetime, Date, Decimal"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68B8-400E-401E-A415-69E070DA320A}">
  <dimension ref="A1:E18"/>
  <sheetViews>
    <sheetView workbookViewId="0">
      <selection activeCell="C22" sqref="C22"/>
    </sheetView>
  </sheetViews>
  <sheetFormatPr defaultRowHeight="14.4" x14ac:dyDescent="0.3"/>
  <cols>
    <col min="1" max="1" width="23.21875" customWidth="1"/>
    <col min="2" max="2" width="18.44140625" customWidth="1"/>
    <col min="3" max="3" width="18.88671875" customWidth="1"/>
    <col min="4" max="4" width="66.88671875" customWidth="1"/>
    <col min="5" max="5" width="41.4414062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46</v>
      </c>
      <c r="B2" t="s">
        <v>5</v>
      </c>
      <c r="C2" t="s">
        <v>9</v>
      </c>
      <c r="D2" t="s">
        <v>48</v>
      </c>
    </row>
    <row r="3" spans="1:5" x14ac:dyDescent="0.3">
      <c r="A3" t="s">
        <v>49</v>
      </c>
      <c r="B3" t="s">
        <v>5</v>
      </c>
      <c r="C3" t="s">
        <v>9</v>
      </c>
      <c r="D3" t="s">
        <v>25</v>
      </c>
    </row>
    <row r="4" spans="1:5" x14ac:dyDescent="0.3">
      <c r="A4" t="s">
        <v>50</v>
      </c>
      <c r="B4" t="s">
        <v>5</v>
      </c>
      <c r="C4" t="s">
        <v>9</v>
      </c>
      <c r="D4" t="s">
        <v>51</v>
      </c>
    </row>
    <row r="5" spans="1:5" x14ac:dyDescent="0.3">
      <c r="A5" t="s">
        <v>149</v>
      </c>
      <c r="B5" t="s">
        <v>21</v>
      </c>
      <c r="C5" t="s">
        <v>9</v>
      </c>
      <c r="D5" t="s">
        <v>53</v>
      </c>
    </row>
    <row r="6" spans="1:5" x14ac:dyDescent="0.3">
      <c r="A6" t="s">
        <v>52</v>
      </c>
      <c r="B6" t="s">
        <v>21</v>
      </c>
      <c r="C6" t="s">
        <v>9</v>
      </c>
      <c r="D6" t="s">
        <v>150</v>
      </c>
    </row>
    <row r="7" spans="1:5" x14ac:dyDescent="0.3">
      <c r="A7" t="s">
        <v>142</v>
      </c>
      <c r="B7" t="s">
        <v>21</v>
      </c>
      <c r="C7" t="s">
        <v>34</v>
      </c>
      <c r="D7" t="s">
        <v>62</v>
      </c>
    </row>
    <row r="8" spans="1:5" x14ac:dyDescent="0.3">
      <c r="A8" t="s">
        <v>72</v>
      </c>
      <c r="B8" t="s">
        <v>21</v>
      </c>
      <c r="C8" t="s">
        <v>73</v>
      </c>
      <c r="D8" t="s">
        <v>74</v>
      </c>
    </row>
    <row r="9" spans="1:5" x14ac:dyDescent="0.3">
      <c r="A9" t="s">
        <v>184</v>
      </c>
      <c r="B9" t="s">
        <v>21</v>
      </c>
      <c r="C9" t="s">
        <v>44</v>
      </c>
      <c r="D9" t="s">
        <v>185</v>
      </c>
    </row>
    <row r="11" spans="1:5" x14ac:dyDescent="0.3">
      <c r="A11" s="10" t="s">
        <v>6</v>
      </c>
    </row>
    <row r="12" spans="1:5" x14ac:dyDescent="0.3">
      <c r="A12" t="s">
        <v>4</v>
      </c>
      <c r="B12" t="s">
        <v>0</v>
      </c>
      <c r="C12" t="s">
        <v>1</v>
      </c>
      <c r="D12" t="s">
        <v>2</v>
      </c>
      <c r="E12" t="s">
        <v>3</v>
      </c>
    </row>
    <row r="13" spans="1:5" x14ac:dyDescent="0.3">
      <c r="A13" t="s">
        <v>141</v>
      </c>
      <c r="B13" t="s">
        <v>21</v>
      </c>
      <c r="C13" t="s">
        <v>9</v>
      </c>
      <c r="D13" t="s">
        <v>145</v>
      </c>
    </row>
    <row r="16" spans="1:5" x14ac:dyDescent="0.3">
      <c r="A16" s="10" t="s">
        <v>54</v>
      </c>
    </row>
    <row r="17" spans="1:5" x14ac:dyDescent="0.3">
      <c r="A17" t="s">
        <v>4</v>
      </c>
      <c r="B17" t="s">
        <v>0</v>
      </c>
      <c r="C17" t="s">
        <v>1</v>
      </c>
      <c r="D17" t="s">
        <v>2</v>
      </c>
      <c r="E17" t="s">
        <v>3</v>
      </c>
    </row>
    <row r="18" spans="1:5" x14ac:dyDescent="0.3">
      <c r="A18" s="12" t="s">
        <v>63</v>
      </c>
      <c r="B18" t="s">
        <v>21</v>
      </c>
      <c r="C18" t="s">
        <v>54</v>
      </c>
      <c r="D18" t="s">
        <v>64</v>
      </c>
    </row>
  </sheetData>
  <dataValidations count="3">
    <dataValidation type="list" allowBlank="1" showInputMessage="1" showErrorMessage="1" sqref="B2" xr:uid="{3572DDBE-B829-46ED-AD0B-AD089F3620D8}">
      <formula1>"Yes, No"</formula1>
    </dataValidation>
    <dataValidation type="list" allowBlank="1" showInputMessage="1" showErrorMessage="1" sqref="C18 C13 C10" xr:uid="{00202035-BF9E-4C77-A193-0B7DCBEA5625}">
      <formula1>"String, Integer, Blob, Guid, Association, Datetime, Date, Decimal"</formula1>
    </dataValidation>
    <dataValidation type="list" allowBlank="1" showInputMessage="1" showErrorMessage="1" sqref="C2:C9" xr:uid="{F5E65451-42EF-4862-B653-7F9D48C9AD98}">
      <formula1>"String, Integer, Blob, Guid, Association, Datetime, Date, Boolean, Decimal"</formula1>
    </dataValidation>
  </dataValidations>
  <hyperlinks>
    <hyperlink ref="A18" location="bph_services_cost!A1" display="_cost_structure" xr:uid="{749C7380-FC43-4E54-AC8C-A3EB09F0B413}"/>
  </hyperlinks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FFE3B-A2C3-45A8-A20F-2117826737B2}">
  <dimension ref="A1:E14"/>
  <sheetViews>
    <sheetView workbookViewId="0">
      <selection activeCell="A7" sqref="A7:E10"/>
    </sheetView>
  </sheetViews>
  <sheetFormatPr defaultRowHeight="14.4" x14ac:dyDescent="0.3"/>
  <cols>
    <col min="1" max="1" width="22.77734375" customWidth="1"/>
    <col min="2" max="2" width="19.21875" customWidth="1"/>
    <col min="3" max="3" width="21.21875" customWidth="1"/>
    <col min="4" max="4" width="51.109375" customWidth="1"/>
    <col min="5" max="5" width="26.4414062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46</v>
      </c>
      <c r="B2" t="s">
        <v>5</v>
      </c>
      <c r="C2" t="s">
        <v>9</v>
      </c>
      <c r="D2" t="s">
        <v>48</v>
      </c>
    </row>
    <row r="3" spans="1:5" x14ac:dyDescent="0.3">
      <c r="A3" t="s">
        <v>65</v>
      </c>
      <c r="B3" t="s">
        <v>5</v>
      </c>
      <c r="C3" t="s">
        <v>9</v>
      </c>
      <c r="D3" t="s">
        <v>66</v>
      </c>
    </row>
    <row r="4" spans="1:5" x14ac:dyDescent="0.3">
      <c r="A4" t="s">
        <v>75</v>
      </c>
      <c r="B4" t="s">
        <v>5</v>
      </c>
      <c r="C4" t="s">
        <v>9</v>
      </c>
      <c r="D4" t="s">
        <v>76</v>
      </c>
    </row>
    <row r="5" spans="1:5" x14ac:dyDescent="0.3">
      <c r="A5" t="s">
        <v>77</v>
      </c>
      <c r="B5" t="s">
        <v>5</v>
      </c>
      <c r="C5" t="s">
        <v>9</v>
      </c>
      <c r="D5" t="s">
        <v>81</v>
      </c>
      <c r="E5" t="s">
        <v>68</v>
      </c>
    </row>
    <row r="7" spans="1:5" x14ac:dyDescent="0.3">
      <c r="A7" s="10" t="s">
        <v>6</v>
      </c>
    </row>
    <row r="8" spans="1:5" x14ac:dyDescent="0.3">
      <c r="A8" t="s">
        <v>4</v>
      </c>
      <c r="B8" t="s">
        <v>0</v>
      </c>
      <c r="C8" t="s">
        <v>1</v>
      </c>
      <c r="D8" t="s">
        <v>2</v>
      </c>
      <c r="E8" t="s">
        <v>3</v>
      </c>
    </row>
    <row r="9" spans="1:5" x14ac:dyDescent="0.3">
      <c r="A9" t="s">
        <v>79</v>
      </c>
      <c r="B9" t="s">
        <v>21</v>
      </c>
      <c r="C9" t="s">
        <v>9</v>
      </c>
      <c r="D9" t="s">
        <v>80</v>
      </c>
    </row>
    <row r="10" spans="1:5" x14ac:dyDescent="0.3">
      <c r="A10" t="s">
        <v>143</v>
      </c>
      <c r="B10" t="s">
        <v>34</v>
      </c>
      <c r="C10" t="s">
        <v>9</v>
      </c>
      <c r="D10" t="s">
        <v>144</v>
      </c>
    </row>
    <row r="12" spans="1:5" x14ac:dyDescent="0.3">
      <c r="A12" s="10" t="s">
        <v>54</v>
      </c>
    </row>
    <row r="13" spans="1:5" x14ac:dyDescent="0.3">
      <c r="A13" t="s">
        <v>4</v>
      </c>
      <c r="B13" t="s">
        <v>0</v>
      </c>
      <c r="C13" t="s">
        <v>1</v>
      </c>
      <c r="D13" t="s">
        <v>2</v>
      </c>
      <c r="E13" t="s">
        <v>3</v>
      </c>
    </row>
    <row r="14" spans="1:5" x14ac:dyDescent="0.3">
      <c r="A14" t="s">
        <v>78</v>
      </c>
      <c r="B14" t="s">
        <v>21</v>
      </c>
      <c r="C14" t="s">
        <v>54</v>
      </c>
      <c r="D14" t="s">
        <v>70</v>
      </c>
    </row>
  </sheetData>
  <dataValidations count="2">
    <dataValidation type="list" allowBlank="1" showInputMessage="1" showErrorMessage="1" sqref="C14 C2:C5 C9:C11" xr:uid="{29469104-CBBB-4932-9BBA-907DD652740F}">
      <formula1>"String, Integer, Blob, Guid, Association, Datetime, Date, Decimal"</formula1>
    </dataValidation>
    <dataValidation type="list" allowBlank="1" showInputMessage="1" showErrorMessage="1" sqref="B2:B3 B5" xr:uid="{60D697C6-F77E-4C30-AD3F-C961BD3262F0}">
      <formula1>"Yes, No"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85AF-68C6-4A62-A2A4-882393E93819}">
  <dimension ref="A1:E17"/>
  <sheetViews>
    <sheetView workbookViewId="0">
      <selection activeCell="D20" sqref="D20"/>
    </sheetView>
  </sheetViews>
  <sheetFormatPr defaultRowHeight="14.4" x14ac:dyDescent="0.3"/>
  <cols>
    <col min="1" max="1" width="23.21875" customWidth="1"/>
    <col min="2" max="2" width="21.33203125" customWidth="1"/>
    <col min="3" max="3" width="32" customWidth="1"/>
    <col min="4" max="4" width="57.44140625" customWidth="1"/>
    <col min="5" max="5" width="23.664062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245</v>
      </c>
      <c r="B2" t="s">
        <v>5</v>
      </c>
      <c r="C2" t="s">
        <v>9</v>
      </c>
      <c r="D2" t="s">
        <v>87</v>
      </c>
    </row>
    <row r="3" spans="1:5" x14ac:dyDescent="0.3">
      <c r="A3" t="s">
        <v>246</v>
      </c>
      <c r="B3" t="s">
        <v>5</v>
      </c>
      <c r="C3" t="s">
        <v>9</v>
      </c>
      <c r="D3" t="s">
        <v>258</v>
      </c>
    </row>
    <row r="4" spans="1:5" x14ac:dyDescent="0.3">
      <c r="A4" t="s">
        <v>247</v>
      </c>
      <c r="B4" t="s">
        <v>21</v>
      </c>
      <c r="C4" t="s">
        <v>7</v>
      </c>
    </row>
    <row r="5" spans="1:5" x14ac:dyDescent="0.3">
      <c r="A5" t="s">
        <v>248</v>
      </c>
      <c r="B5" t="s">
        <v>21</v>
      </c>
      <c r="C5" t="s">
        <v>9</v>
      </c>
    </row>
    <row r="6" spans="1:5" x14ac:dyDescent="0.3">
      <c r="A6" t="s">
        <v>249</v>
      </c>
      <c r="B6" t="s">
        <v>21</v>
      </c>
      <c r="C6" t="s">
        <v>9</v>
      </c>
      <c r="D6" t="s">
        <v>94</v>
      </c>
    </row>
    <row r="7" spans="1:5" x14ac:dyDescent="0.3">
      <c r="A7" t="s">
        <v>250</v>
      </c>
      <c r="B7" t="s">
        <v>21</v>
      </c>
      <c r="C7" t="s">
        <v>73</v>
      </c>
      <c r="D7" t="s">
        <v>74</v>
      </c>
    </row>
    <row r="8" spans="1:5" x14ac:dyDescent="0.3">
      <c r="A8" t="s">
        <v>96</v>
      </c>
      <c r="B8" t="s">
        <v>21</v>
      </c>
      <c r="C8" t="s">
        <v>9</v>
      </c>
      <c r="D8" t="s">
        <v>251</v>
      </c>
    </row>
    <row r="10" spans="1:5" x14ac:dyDescent="0.3">
      <c r="A10" s="10" t="s">
        <v>6</v>
      </c>
    </row>
    <row r="11" spans="1:5" x14ac:dyDescent="0.3">
      <c r="A11" t="s">
        <v>4</v>
      </c>
      <c r="B11" t="s">
        <v>0</v>
      </c>
      <c r="C11" t="s">
        <v>1</v>
      </c>
      <c r="D11" t="s">
        <v>2</v>
      </c>
      <c r="E11" t="s">
        <v>3</v>
      </c>
    </row>
    <row r="12" spans="1:5" x14ac:dyDescent="0.3">
      <c r="A12" t="s">
        <v>255</v>
      </c>
      <c r="B12" t="s">
        <v>21</v>
      </c>
      <c r="C12" t="s">
        <v>9</v>
      </c>
      <c r="D12" t="s">
        <v>256</v>
      </c>
    </row>
    <row r="14" spans="1:5" x14ac:dyDescent="0.3">
      <c r="A14" s="10" t="s">
        <v>54</v>
      </c>
    </row>
    <row r="15" spans="1:5" x14ac:dyDescent="0.3">
      <c r="A15" t="s">
        <v>4</v>
      </c>
      <c r="B15" t="s">
        <v>0</v>
      </c>
      <c r="C15" t="s">
        <v>1</v>
      </c>
      <c r="D15" t="s">
        <v>2</v>
      </c>
      <c r="E15" t="s">
        <v>3</v>
      </c>
    </row>
    <row r="16" spans="1:5" x14ac:dyDescent="0.3">
      <c r="A16" t="s">
        <v>253</v>
      </c>
      <c r="B16" t="s">
        <v>21</v>
      </c>
      <c r="C16" t="s">
        <v>54</v>
      </c>
      <c r="D16" t="s">
        <v>254</v>
      </c>
    </row>
    <row r="17" spans="1:4" x14ac:dyDescent="0.3">
      <c r="A17" t="s">
        <v>257</v>
      </c>
      <c r="B17" t="s">
        <v>21</v>
      </c>
      <c r="C17" t="s">
        <v>54</v>
      </c>
      <c r="D17" t="s">
        <v>259</v>
      </c>
    </row>
  </sheetData>
  <dataValidations count="2">
    <dataValidation type="list" allowBlank="1" showInputMessage="1" showErrorMessage="1" sqref="B2" xr:uid="{F0BC0F07-47F5-4CCE-8D48-74541DA28985}">
      <formula1>"Yes, No"</formula1>
    </dataValidation>
    <dataValidation type="list" allowBlank="1" showInputMessage="1" showErrorMessage="1" sqref="C2:C8 C16:C17 C12" xr:uid="{6B525375-0096-4F11-987B-72AE4E32E6E4}">
      <formula1>"String, Integer, Blob, Guid, Association, Datetime, Date, Decimal"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0C32A-B4FE-4AC5-8531-4A9CA79C403E}">
  <dimension ref="A1"/>
  <sheetViews>
    <sheetView workbookViewId="0">
      <selection activeCell="K24" sqref="K24"/>
    </sheetView>
  </sheetViews>
  <sheetFormatPr defaultRowHeight="14.4" x14ac:dyDescent="0.3"/>
  <sheetData>
    <row r="1" spans="1:1" x14ac:dyDescent="0.3">
      <c r="A1" t="s">
        <v>252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56C05-3384-4821-BE1E-5D95A1A7120B}">
  <dimension ref="A1:E9"/>
  <sheetViews>
    <sheetView workbookViewId="0">
      <selection sqref="A1:E9"/>
    </sheetView>
  </sheetViews>
  <sheetFormatPr defaultRowHeight="14.4" x14ac:dyDescent="0.3"/>
  <cols>
    <col min="1" max="1" width="16.6640625" bestFit="1" customWidth="1"/>
    <col min="2" max="2" width="10.77734375" bestFit="1" customWidth="1"/>
    <col min="3" max="3" width="11.33203125" bestFit="1" customWidth="1"/>
    <col min="4" max="4" width="49.44140625" bestFit="1" customWidth="1"/>
    <col min="5" max="5" width="38.554687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16</v>
      </c>
      <c r="B2" t="s">
        <v>5</v>
      </c>
      <c r="C2" t="s">
        <v>86</v>
      </c>
      <c r="D2" t="s">
        <v>87</v>
      </c>
    </row>
    <row r="3" spans="1:5" x14ac:dyDescent="0.3">
      <c r="A3" t="s">
        <v>88</v>
      </c>
      <c r="B3" t="s">
        <v>5</v>
      </c>
      <c r="C3" t="s">
        <v>9</v>
      </c>
      <c r="D3" t="s">
        <v>89</v>
      </c>
    </row>
    <row r="4" spans="1:5" x14ac:dyDescent="0.3">
      <c r="A4" t="s">
        <v>91</v>
      </c>
      <c r="B4" t="s">
        <v>21</v>
      </c>
      <c r="C4" t="s">
        <v>9</v>
      </c>
    </row>
    <row r="5" spans="1:5" x14ac:dyDescent="0.3">
      <c r="A5" t="s">
        <v>92</v>
      </c>
      <c r="B5" t="s">
        <v>21</v>
      </c>
      <c r="C5" t="s">
        <v>9</v>
      </c>
    </row>
    <row r="6" spans="1:5" x14ac:dyDescent="0.3">
      <c r="A6" t="s">
        <v>93</v>
      </c>
      <c r="B6" t="s">
        <v>21</v>
      </c>
      <c r="C6" t="s">
        <v>34</v>
      </c>
      <c r="D6" t="s">
        <v>94</v>
      </c>
    </row>
    <row r="7" spans="1:5" x14ac:dyDescent="0.3">
      <c r="A7" t="s">
        <v>95</v>
      </c>
      <c r="B7" t="s">
        <v>21</v>
      </c>
      <c r="C7" t="s">
        <v>73</v>
      </c>
      <c r="D7" t="s">
        <v>74</v>
      </c>
    </row>
    <row r="8" spans="1:5" x14ac:dyDescent="0.3">
      <c r="A8" t="s">
        <v>96</v>
      </c>
      <c r="B8" t="s">
        <v>21</v>
      </c>
      <c r="C8" t="s">
        <v>9</v>
      </c>
      <c r="D8" t="s">
        <v>97</v>
      </c>
    </row>
    <row r="9" spans="1:5" x14ac:dyDescent="0.3">
      <c r="A9" t="s">
        <v>98</v>
      </c>
      <c r="B9" t="s">
        <v>21</v>
      </c>
      <c r="C9" t="s">
        <v>9</v>
      </c>
      <c r="D9" t="s">
        <v>99</v>
      </c>
    </row>
  </sheetData>
  <dataValidations count="2">
    <dataValidation type="list" allowBlank="1" showInputMessage="1" showErrorMessage="1" sqref="C2:C9" xr:uid="{84047863-06C9-425F-84F0-0C4D2A57BF9C}">
      <formula1>"String, Integer, Blob, Guid, Association, Datetime, Date, Decimal"</formula1>
    </dataValidation>
    <dataValidation type="list" allowBlank="1" showInputMessage="1" showErrorMessage="1" sqref="B2" xr:uid="{D19C2BF1-536C-4F19-A16D-F65492CB95B4}">
      <formula1>"Yes, No"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4A4E0-B611-4B67-ABD6-87E03265F727}">
  <dimension ref="A1:E17"/>
  <sheetViews>
    <sheetView workbookViewId="0">
      <selection activeCell="B28" sqref="B28"/>
    </sheetView>
  </sheetViews>
  <sheetFormatPr defaultRowHeight="14.4" x14ac:dyDescent="0.3"/>
  <cols>
    <col min="1" max="1" width="27.88671875" customWidth="1"/>
    <col min="2" max="2" width="30.77734375" customWidth="1"/>
    <col min="3" max="3" width="23.88671875" customWidth="1"/>
    <col min="4" max="4" width="51" customWidth="1"/>
    <col min="5" max="5" width="47.8867187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67</v>
      </c>
      <c r="B2" t="s">
        <v>5</v>
      </c>
      <c r="C2" t="s">
        <v>9</v>
      </c>
      <c r="D2" t="s">
        <v>103</v>
      </c>
    </row>
    <row r="3" spans="1:5" x14ac:dyDescent="0.3">
      <c r="A3" t="s">
        <v>49</v>
      </c>
      <c r="B3" t="s">
        <v>5</v>
      </c>
      <c r="C3" t="s">
        <v>9</v>
      </c>
      <c r="E3" t="s">
        <v>108</v>
      </c>
    </row>
    <row r="4" spans="1:5" x14ac:dyDescent="0.3">
      <c r="A4" t="s">
        <v>104</v>
      </c>
      <c r="B4" t="s">
        <v>21</v>
      </c>
      <c r="C4" t="s">
        <v>9</v>
      </c>
      <c r="D4" t="s">
        <v>105</v>
      </c>
    </row>
    <row r="5" spans="1:5" x14ac:dyDescent="0.3">
      <c r="A5" t="s">
        <v>106</v>
      </c>
      <c r="B5" t="s">
        <v>21</v>
      </c>
      <c r="C5" t="s">
        <v>9</v>
      </c>
      <c r="D5" t="s">
        <v>107</v>
      </c>
    </row>
    <row r="6" spans="1:5" x14ac:dyDescent="0.3">
      <c r="A6" t="s">
        <v>109</v>
      </c>
      <c r="B6" t="s">
        <v>21</v>
      </c>
      <c r="C6" t="s">
        <v>34</v>
      </c>
    </row>
    <row r="7" spans="1:5" x14ac:dyDescent="0.3">
      <c r="A7" t="s">
        <v>110</v>
      </c>
      <c r="B7" t="s">
        <v>21</v>
      </c>
      <c r="C7" t="s">
        <v>34</v>
      </c>
    </row>
    <row r="8" spans="1:5" x14ac:dyDescent="0.3">
      <c r="A8" t="s">
        <v>111</v>
      </c>
      <c r="B8" t="s">
        <v>21</v>
      </c>
      <c r="C8" t="s">
        <v>34</v>
      </c>
    </row>
    <row r="9" spans="1:5" x14ac:dyDescent="0.3">
      <c r="A9" t="s">
        <v>112</v>
      </c>
      <c r="B9" t="s">
        <v>21</v>
      </c>
      <c r="C9" t="s">
        <v>34</v>
      </c>
    </row>
    <row r="10" spans="1:5" x14ac:dyDescent="0.3">
      <c r="A10" t="s">
        <v>113</v>
      </c>
      <c r="B10" t="s">
        <v>21</v>
      </c>
      <c r="C10" t="s">
        <v>34</v>
      </c>
    </row>
    <row r="11" spans="1:5" x14ac:dyDescent="0.3">
      <c r="A11" t="s">
        <v>114</v>
      </c>
      <c r="B11" t="s">
        <v>21</v>
      </c>
      <c r="C11" t="s">
        <v>115</v>
      </c>
    </row>
    <row r="12" spans="1:5" x14ac:dyDescent="0.3">
      <c r="A12" t="s">
        <v>116</v>
      </c>
      <c r="B12" t="s">
        <v>21</v>
      </c>
      <c r="C12" t="s">
        <v>34</v>
      </c>
    </row>
    <row r="13" spans="1:5" x14ac:dyDescent="0.3">
      <c r="A13" t="s">
        <v>117</v>
      </c>
      <c r="B13" t="s">
        <v>21</v>
      </c>
      <c r="C13" t="s">
        <v>34</v>
      </c>
    </row>
    <row r="14" spans="1:5" x14ac:dyDescent="0.3">
      <c r="A14" t="s">
        <v>118</v>
      </c>
      <c r="B14" t="s">
        <v>21</v>
      </c>
      <c r="C14" t="s">
        <v>34</v>
      </c>
      <c r="D14" t="s">
        <v>119</v>
      </c>
    </row>
    <row r="15" spans="1:5" x14ac:dyDescent="0.3">
      <c r="A15" t="s">
        <v>120</v>
      </c>
      <c r="B15" t="s">
        <v>21</v>
      </c>
      <c r="C15" t="s">
        <v>34</v>
      </c>
      <c r="D15" t="s">
        <v>121</v>
      </c>
    </row>
    <row r="16" spans="1:5" x14ac:dyDescent="0.3">
      <c r="A16" t="s">
        <v>146</v>
      </c>
      <c r="B16" t="s">
        <v>21</v>
      </c>
      <c r="C16" t="s">
        <v>34</v>
      </c>
    </row>
    <row r="17" spans="1:4" x14ac:dyDescent="0.3">
      <c r="A17" t="s">
        <v>147</v>
      </c>
      <c r="B17" t="s">
        <v>21</v>
      </c>
      <c r="C17" t="s">
        <v>34</v>
      </c>
      <c r="D17" t="s">
        <v>148</v>
      </c>
    </row>
  </sheetData>
  <dataValidations count="3">
    <dataValidation type="list" allowBlank="1" showInputMessage="1" showErrorMessage="1" sqref="B2:B4" xr:uid="{D63632AE-4A7B-410A-9453-8DF315A4EE6A}">
      <formula1>"Yes, No"</formula1>
    </dataValidation>
    <dataValidation type="list" allowBlank="1" showInputMessage="1" showErrorMessage="1" sqref="C2:C17" xr:uid="{13D1C693-1193-422D-BB75-AA7DE16E8DE8}">
      <formula1>"String, Integer, Blob, Guid, Association, Datetime, Date, Decimal, Unit of Measure"</formula1>
    </dataValidation>
    <dataValidation type="list" allowBlank="1" showInputMessage="1" showErrorMessage="1" sqref="C18:C19" xr:uid="{00202035-BF9E-4C77-A193-0B7DCBEA5625}">
      <formula1>"String, Integer, Blob, Guid, Association, Datetime, Date, Decimal"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B093E-1763-4B6B-9ED5-95761F7C54F5}">
  <dimension ref="A1:E3"/>
  <sheetViews>
    <sheetView workbookViewId="0">
      <selection sqref="A1:E3"/>
    </sheetView>
  </sheetViews>
  <sheetFormatPr defaultRowHeight="14.4" x14ac:dyDescent="0.3"/>
  <cols>
    <col min="1" max="1" width="27.88671875" customWidth="1"/>
    <col min="2" max="2" width="25.77734375" customWidth="1"/>
    <col min="3" max="3" width="31.44140625" customWidth="1"/>
    <col min="4" max="4" width="20" customWidth="1"/>
    <col min="5" max="5" width="33.10937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122</v>
      </c>
      <c r="B2" t="s">
        <v>5</v>
      </c>
      <c r="C2" t="s">
        <v>9</v>
      </c>
    </row>
    <row r="3" spans="1:5" x14ac:dyDescent="0.3">
      <c r="A3" t="s">
        <v>123</v>
      </c>
      <c r="B3" t="s">
        <v>21</v>
      </c>
      <c r="C3" t="s">
        <v>9</v>
      </c>
    </row>
  </sheetData>
  <dataValidations count="2">
    <dataValidation type="list" allowBlank="1" showInputMessage="1" showErrorMessage="1" sqref="B2" xr:uid="{8D764620-003F-482B-8086-777A19DB57FA}">
      <formula1>"Yes, No"</formula1>
    </dataValidation>
    <dataValidation type="list" allowBlank="1" showInputMessage="1" showErrorMessage="1" sqref="C2:C3" xr:uid="{6F3ECB3E-EC1E-4817-919B-BDED724EE6B4}">
      <formula1>"String, Integer, Blob, Guid, Association, Datetime, Date, Decimal, Unit of Measure"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38CB-8912-46B9-BFBA-41BE4DA7D872}">
  <dimension ref="P1:T4"/>
  <sheetViews>
    <sheetView workbookViewId="0">
      <selection activeCell="T4" sqref="T4"/>
    </sheetView>
  </sheetViews>
  <sheetFormatPr defaultRowHeight="14.4" x14ac:dyDescent="0.3"/>
  <cols>
    <col min="16" max="16" width="17.6640625" customWidth="1"/>
    <col min="17" max="17" width="21.88671875" customWidth="1"/>
    <col min="18" max="18" width="22.21875" customWidth="1"/>
    <col min="19" max="19" width="26.6640625" customWidth="1"/>
    <col min="20" max="20" width="42.21875" customWidth="1"/>
  </cols>
  <sheetData>
    <row r="1" spans="16:20" x14ac:dyDescent="0.3">
      <c r="P1" t="s">
        <v>4</v>
      </c>
      <c r="Q1" t="s">
        <v>0</v>
      </c>
      <c r="R1" t="s">
        <v>1</v>
      </c>
      <c r="S1" t="s">
        <v>2</v>
      </c>
      <c r="T1" t="s">
        <v>3</v>
      </c>
    </row>
    <row r="2" spans="16:20" x14ac:dyDescent="0.3">
      <c r="P2" t="s">
        <v>242</v>
      </c>
      <c r="Q2" t="s">
        <v>5</v>
      </c>
      <c r="R2" t="s">
        <v>9</v>
      </c>
    </row>
    <row r="3" spans="16:20" x14ac:dyDescent="0.3">
      <c r="P3" t="s">
        <v>243</v>
      </c>
      <c r="Q3" t="s">
        <v>21</v>
      </c>
      <c r="R3" t="s">
        <v>9</v>
      </c>
    </row>
    <row r="4" spans="16:20" x14ac:dyDescent="0.3">
      <c r="P4" t="s">
        <v>244</v>
      </c>
      <c r="Q4" t="s">
        <v>21</v>
      </c>
      <c r="R4" t="s">
        <v>9</v>
      </c>
    </row>
  </sheetData>
  <dataValidations count="2">
    <dataValidation type="list" allowBlank="1" showInputMessage="1" showErrorMessage="1" sqref="R2:R4" xr:uid="{74267607-9C46-4CE3-BD69-C9D894A191BA}">
      <formula1>"String, Integer, Blob, Guid, Association, Datetime, Date, Decimal, Unit of Measure"</formula1>
    </dataValidation>
    <dataValidation type="list" allowBlank="1" showInputMessage="1" showErrorMessage="1" sqref="Q2" xr:uid="{0334255B-0A62-4070-91AB-1C12F836AD2B}">
      <formula1>"Yes, No"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A2A84-4071-45B8-A421-F5DC9FB6FDC7}">
  <dimension ref="A1:E13"/>
  <sheetViews>
    <sheetView workbookViewId="0">
      <selection sqref="A1:E13"/>
    </sheetView>
  </sheetViews>
  <sheetFormatPr defaultRowHeight="14.4" x14ac:dyDescent="0.3"/>
  <cols>
    <col min="1" max="1" width="28.44140625" customWidth="1"/>
    <col min="2" max="2" width="30.6640625" customWidth="1"/>
    <col min="3" max="3" width="30.21875" customWidth="1"/>
    <col min="4" max="4" width="53.21875" customWidth="1"/>
    <col min="5" max="5" width="44.8867187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67</v>
      </c>
      <c r="B2" t="s">
        <v>5</v>
      </c>
      <c r="C2" t="s">
        <v>9</v>
      </c>
      <c r="D2" t="s">
        <v>103</v>
      </c>
    </row>
    <row r="3" spans="1:5" x14ac:dyDescent="0.3">
      <c r="A3" t="s">
        <v>49</v>
      </c>
      <c r="B3" t="s">
        <v>5</v>
      </c>
      <c r="C3" t="s">
        <v>9</v>
      </c>
    </row>
    <row r="4" spans="1:5" x14ac:dyDescent="0.3">
      <c r="A4" t="s">
        <v>104</v>
      </c>
      <c r="B4" t="s">
        <v>21</v>
      </c>
      <c r="C4" t="s">
        <v>9</v>
      </c>
      <c r="D4" t="s">
        <v>105</v>
      </c>
    </row>
    <row r="5" spans="1:5" x14ac:dyDescent="0.3">
      <c r="A5" t="s">
        <v>124</v>
      </c>
      <c r="B5" t="s">
        <v>21</v>
      </c>
      <c r="C5" t="s">
        <v>9</v>
      </c>
      <c r="D5" t="s">
        <v>125</v>
      </c>
    </row>
    <row r="6" spans="1:5" x14ac:dyDescent="0.3">
      <c r="A6" t="s">
        <v>126</v>
      </c>
      <c r="B6" t="s">
        <v>21</v>
      </c>
      <c r="C6" t="s">
        <v>7</v>
      </c>
    </row>
    <row r="7" spans="1:5" x14ac:dyDescent="0.3">
      <c r="A7" t="s">
        <v>127</v>
      </c>
      <c r="B7" t="s">
        <v>21</v>
      </c>
      <c r="C7" t="s">
        <v>34</v>
      </c>
      <c r="D7" t="s">
        <v>129</v>
      </c>
    </row>
    <row r="8" spans="1:5" x14ac:dyDescent="0.3">
      <c r="A8" t="s">
        <v>128</v>
      </c>
      <c r="B8" t="s">
        <v>21</v>
      </c>
      <c r="C8" t="s">
        <v>34</v>
      </c>
      <c r="D8" t="s">
        <v>130</v>
      </c>
    </row>
    <row r="9" spans="1:5" x14ac:dyDescent="0.3">
      <c r="A9" t="s">
        <v>113</v>
      </c>
      <c r="B9" t="s">
        <v>21</v>
      </c>
      <c r="C9" t="s">
        <v>34</v>
      </c>
    </row>
    <row r="10" spans="1:5" x14ac:dyDescent="0.3">
      <c r="A10" t="s">
        <v>114</v>
      </c>
      <c r="B10" t="s">
        <v>21</v>
      </c>
      <c r="C10" t="s">
        <v>115</v>
      </c>
    </row>
    <row r="11" spans="1:5" x14ac:dyDescent="0.3">
      <c r="A11" t="s">
        <v>131</v>
      </c>
      <c r="B11" t="s">
        <v>21</v>
      </c>
      <c r="C11" t="s">
        <v>34</v>
      </c>
    </row>
    <row r="12" spans="1:5" x14ac:dyDescent="0.3">
      <c r="A12" t="s">
        <v>112</v>
      </c>
      <c r="B12" t="s">
        <v>21</v>
      </c>
      <c r="C12" t="s">
        <v>34</v>
      </c>
    </row>
    <row r="13" spans="1:5" x14ac:dyDescent="0.3">
      <c r="A13" t="s">
        <v>132</v>
      </c>
      <c r="B13" t="s">
        <v>21</v>
      </c>
      <c r="C13" t="s">
        <v>9</v>
      </c>
      <c r="D13" t="s">
        <v>119</v>
      </c>
    </row>
  </sheetData>
  <dataValidations count="2">
    <dataValidation type="list" allowBlank="1" showInputMessage="1" showErrorMessage="1" sqref="B2:B4" xr:uid="{39AEBF7E-D536-41B2-B0C6-7258D85BC37F}">
      <formula1>"Yes, No"</formula1>
    </dataValidation>
    <dataValidation type="list" allowBlank="1" showInputMessage="1" showErrorMessage="1" sqref="C2:C13" xr:uid="{1B7B06A0-240D-430F-8790-598D632A69F6}">
      <formula1>"String, Integer, Blob, Guid, Association, Datetime, Date, Decimal, Unit of Measure"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D59FA-333F-4C19-8B2A-84908026D499}">
  <dimension ref="A1:E8"/>
  <sheetViews>
    <sheetView workbookViewId="0">
      <selection activeCell="C12" sqref="C12"/>
    </sheetView>
  </sheetViews>
  <sheetFormatPr defaultRowHeight="14.4" x14ac:dyDescent="0.3"/>
  <cols>
    <col min="1" max="1" width="26.5546875" customWidth="1"/>
    <col min="2" max="2" width="24.33203125" customWidth="1"/>
    <col min="3" max="3" width="28.33203125" customWidth="1"/>
    <col min="4" max="4" width="23.5546875" customWidth="1"/>
    <col min="5" max="5" width="48.44140625" customWidth="1"/>
  </cols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13</v>
      </c>
      <c r="B2" t="s">
        <v>5</v>
      </c>
      <c r="C2" t="s">
        <v>86</v>
      </c>
      <c r="D2" t="s">
        <v>151</v>
      </c>
    </row>
    <row r="3" spans="1:5" x14ac:dyDescent="0.3">
      <c r="A3" t="s">
        <v>133</v>
      </c>
      <c r="B3" t="s">
        <v>21</v>
      </c>
      <c r="C3" t="s">
        <v>9</v>
      </c>
      <c r="D3" t="s">
        <v>134</v>
      </c>
    </row>
    <row r="4" spans="1:5" x14ac:dyDescent="0.3">
      <c r="A4" t="s">
        <v>135</v>
      </c>
      <c r="B4" t="s">
        <v>21</v>
      </c>
      <c r="C4" t="s">
        <v>9</v>
      </c>
      <c r="D4" t="s">
        <v>136</v>
      </c>
    </row>
    <row r="5" spans="1:5" x14ac:dyDescent="0.3">
      <c r="A5" t="s">
        <v>96</v>
      </c>
      <c r="B5" t="s">
        <v>21</v>
      </c>
      <c r="C5" t="s">
        <v>9</v>
      </c>
      <c r="D5" t="s">
        <v>137</v>
      </c>
    </row>
    <row r="6" spans="1:5" x14ac:dyDescent="0.3">
      <c r="A6" t="s">
        <v>138</v>
      </c>
      <c r="B6" t="s">
        <v>21</v>
      </c>
      <c r="C6" t="s">
        <v>9</v>
      </c>
    </row>
    <row r="7" spans="1:5" x14ac:dyDescent="0.3">
      <c r="A7" t="s">
        <v>98</v>
      </c>
      <c r="B7" t="s">
        <v>21</v>
      </c>
      <c r="C7" t="s">
        <v>9</v>
      </c>
      <c r="D7" t="s">
        <v>139</v>
      </c>
    </row>
    <row r="8" spans="1:5" x14ac:dyDescent="0.3">
      <c r="A8" t="s">
        <v>140</v>
      </c>
      <c r="B8" t="s">
        <v>21</v>
      </c>
      <c r="C8" t="s">
        <v>41</v>
      </c>
      <c r="D8" t="s">
        <v>130</v>
      </c>
    </row>
  </sheetData>
  <dataValidations count="2">
    <dataValidation type="list" allowBlank="1" showInputMessage="1" showErrorMessage="1" sqref="C2:C8" xr:uid="{B2002C9C-0AD9-4E0B-8E54-EB68C50F804F}">
      <formula1>"String, Integer, Blob, Guid, Association, Datetime, Date, Decimal, Unit of Measure"</formula1>
    </dataValidation>
    <dataValidation type="list" allowBlank="1" showInputMessage="1" showErrorMessage="1" sqref="B2:B4" xr:uid="{59483688-2E0B-4E8E-8041-7E3DBB76B153}">
      <formula1>"Yes, No"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3DE1F-C2CF-413D-9EA8-606C09142143}">
  <dimension ref="A1:D20"/>
  <sheetViews>
    <sheetView workbookViewId="0">
      <selection activeCell="C25" sqref="C25"/>
    </sheetView>
  </sheetViews>
  <sheetFormatPr defaultRowHeight="14.4" x14ac:dyDescent="0.3"/>
  <cols>
    <col min="1" max="1" width="28.5546875" customWidth="1"/>
    <col min="2" max="2" width="28.21875" customWidth="1"/>
    <col min="3" max="3" width="51.109375" bestFit="1" customWidth="1"/>
    <col min="4" max="4" width="64.5546875" customWidth="1"/>
  </cols>
  <sheetData>
    <row r="1" spans="1:4" x14ac:dyDescent="0.3">
      <c r="A1" t="s">
        <v>4</v>
      </c>
      <c r="B1" t="s">
        <v>1</v>
      </c>
      <c r="C1" t="s">
        <v>2</v>
      </c>
      <c r="D1" t="s">
        <v>3</v>
      </c>
    </row>
    <row r="2" spans="1:4" x14ac:dyDescent="0.3">
      <c r="A2" t="s">
        <v>187</v>
      </c>
      <c r="B2" t="s">
        <v>9</v>
      </c>
      <c r="C2" t="s">
        <v>188</v>
      </c>
      <c r="D2" t="s">
        <v>189</v>
      </c>
    </row>
    <row r="3" spans="1:4" x14ac:dyDescent="0.3">
      <c r="A3" t="s">
        <v>190</v>
      </c>
      <c r="B3" t="s">
        <v>9</v>
      </c>
      <c r="C3" t="s">
        <v>191</v>
      </c>
      <c r="D3" t="s">
        <v>192</v>
      </c>
    </row>
    <row r="4" spans="1:4" x14ac:dyDescent="0.3">
      <c r="A4" t="s">
        <v>193</v>
      </c>
      <c r="B4" t="s">
        <v>41</v>
      </c>
      <c r="C4" t="s">
        <v>194</v>
      </c>
      <c r="D4" t="s">
        <v>195</v>
      </c>
    </row>
    <row r="5" spans="1:4" ht="72" x14ac:dyDescent="0.3">
      <c r="A5" t="s">
        <v>196</v>
      </c>
      <c r="B5" t="s">
        <v>34</v>
      </c>
      <c r="C5" s="11" t="s">
        <v>197</v>
      </c>
    </row>
    <row r="6" spans="1:4" ht="43.2" x14ac:dyDescent="0.3">
      <c r="A6" t="s">
        <v>198</v>
      </c>
      <c r="B6" t="s">
        <v>41</v>
      </c>
      <c r="C6" s="11" t="s">
        <v>199</v>
      </c>
    </row>
    <row r="7" spans="1:4" x14ac:dyDescent="0.3">
      <c r="A7" t="s">
        <v>200</v>
      </c>
      <c r="B7" t="s">
        <v>34</v>
      </c>
      <c r="C7" t="s">
        <v>201</v>
      </c>
    </row>
    <row r="8" spans="1:4" x14ac:dyDescent="0.3">
      <c r="A8" t="s">
        <v>202</v>
      </c>
      <c r="B8" t="s">
        <v>34</v>
      </c>
      <c r="C8" t="s">
        <v>203</v>
      </c>
    </row>
    <row r="9" spans="1:4" x14ac:dyDescent="0.3">
      <c r="A9" t="s">
        <v>204</v>
      </c>
      <c r="B9" t="s">
        <v>34</v>
      </c>
      <c r="C9" t="s">
        <v>205</v>
      </c>
    </row>
    <row r="10" spans="1:4" ht="43.2" x14ac:dyDescent="0.3">
      <c r="A10" t="s">
        <v>206</v>
      </c>
      <c r="B10" t="s">
        <v>34</v>
      </c>
      <c r="C10" s="11" t="s">
        <v>159</v>
      </c>
    </row>
    <row r="11" spans="1:4" x14ac:dyDescent="0.3">
      <c r="A11" t="s">
        <v>209</v>
      </c>
      <c r="B11" t="s">
        <v>34</v>
      </c>
      <c r="C11" t="s">
        <v>210</v>
      </c>
    </row>
    <row r="12" spans="1:4" x14ac:dyDescent="0.3">
      <c r="A12" t="s">
        <v>211</v>
      </c>
      <c r="B12" t="s">
        <v>34</v>
      </c>
      <c r="C12" t="s">
        <v>212</v>
      </c>
    </row>
    <row r="13" spans="1:4" x14ac:dyDescent="0.3">
      <c r="A13" t="s">
        <v>213</v>
      </c>
      <c r="B13" t="s">
        <v>41</v>
      </c>
      <c r="C13" t="s">
        <v>214</v>
      </c>
      <c r="D13" t="s">
        <v>215</v>
      </c>
    </row>
    <row r="14" spans="1:4" ht="43.2" x14ac:dyDescent="0.3">
      <c r="A14" t="s">
        <v>216</v>
      </c>
      <c r="B14" t="s">
        <v>34</v>
      </c>
      <c r="C14" s="11" t="s">
        <v>217</v>
      </c>
    </row>
    <row r="15" spans="1:4" x14ac:dyDescent="0.3">
      <c r="A15" t="s">
        <v>218</v>
      </c>
      <c r="B15" t="s">
        <v>34</v>
      </c>
      <c r="C15" t="s">
        <v>201</v>
      </c>
    </row>
    <row r="16" spans="1:4" x14ac:dyDescent="0.3">
      <c r="A16" t="s">
        <v>219</v>
      </c>
      <c r="B16" t="s">
        <v>34</v>
      </c>
    </row>
    <row r="17" spans="1:3" x14ac:dyDescent="0.3">
      <c r="A17" t="s">
        <v>220</v>
      </c>
      <c r="B17" t="s">
        <v>34</v>
      </c>
      <c r="C17" t="s">
        <v>221</v>
      </c>
    </row>
    <row r="18" spans="1:3" x14ac:dyDescent="0.3">
      <c r="A18" t="s">
        <v>222</v>
      </c>
      <c r="B18" t="s">
        <v>34</v>
      </c>
      <c r="C18" t="s">
        <v>223</v>
      </c>
    </row>
    <row r="19" spans="1:3" x14ac:dyDescent="0.3">
      <c r="A19" t="s">
        <v>224</v>
      </c>
      <c r="B19" t="s">
        <v>34</v>
      </c>
      <c r="C19" t="s">
        <v>225</v>
      </c>
    </row>
    <row r="20" spans="1:3" x14ac:dyDescent="0.3">
      <c r="A20" t="s">
        <v>226</v>
      </c>
      <c r="B20" t="s">
        <v>34</v>
      </c>
      <c r="C20" t="s">
        <v>227</v>
      </c>
    </row>
  </sheetData>
  <dataValidations count="1">
    <dataValidation type="list" allowBlank="1" showInputMessage="1" showErrorMessage="1" sqref="B2:B20" xr:uid="{6DDEFFB7-E77C-434C-B2F5-3075F225C7E4}">
      <formula1>"String, Integer, Blob, Guid, Association, Datetime, Date, Decimal, Unit of Measure"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7E0C0-584E-4669-A4E8-32B398D21615}">
  <dimension ref="A2:I33"/>
  <sheetViews>
    <sheetView topLeftCell="A16" zoomScale="70" zoomScaleNormal="70" workbookViewId="0">
      <selection activeCell="G40" sqref="G40"/>
    </sheetView>
  </sheetViews>
  <sheetFormatPr defaultRowHeight="14.4" x14ac:dyDescent="0.3"/>
  <cols>
    <col min="1" max="1" width="26" bestFit="1" customWidth="1"/>
    <col min="2" max="2" width="11.33203125" bestFit="1" customWidth="1"/>
    <col min="3" max="3" width="51.109375" bestFit="1" customWidth="1"/>
    <col min="4" max="4" width="54.33203125" bestFit="1" customWidth="1"/>
    <col min="6" max="6" width="35.33203125" customWidth="1"/>
    <col min="7" max="7" width="12.44140625" bestFit="1" customWidth="1"/>
    <col min="8" max="8" width="71.44140625" customWidth="1"/>
    <col min="9" max="9" width="36" bestFit="1" customWidth="1"/>
  </cols>
  <sheetData>
    <row r="2" spans="1:4" x14ac:dyDescent="0.3">
      <c r="A2" s="10" t="s">
        <v>233</v>
      </c>
    </row>
    <row r="3" spans="1:4" x14ac:dyDescent="0.3">
      <c r="A3" t="s">
        <v>4</v>
      </c>
      <c r="B3" t="s">
        <v>1</v>
      </c>
      <c r="C3" t="s">
        <v>2</v>
      </c>
      <c r="D3" t="s">
        <v>3</v>
      </c>
    </row>
    <row r="4" spans="1:4" x14ac:dyDescent="0.3">
      <c r="A4" t="s">
        <v>16</v>
      </c>
      <c r="B4" t="s">
        <v>9</v>
      </c>
      <c r="C4" t="s">
        <v>228</v>
      </c>
      <c r="D4" t="s">
        <v>189</v>
      </c>
    </row>
    <row r="5" spans="1:4" x14ac:dyDescent="0.3">
      <c r="A5" t="s">
        <v>90</v>
      </c>
      <c r="B5" t="s">
        <v>9</v>
      </c>
      <c r="C5" t="s">
        <v>229</v>
      </c>
    </row>
    <row r="6" spans="1:4" ht="57.6" x14ac:dyDescent="0.3">
      <c r="A6" t="s">
        <v>231</v>
      </c>
      <c r="B6" t="s">
        <v>34</v>
      </c>
      <c r="C6" s="13" t="s">
        <v>230</v>
      </c>
    </row>
    <row r="8" spans="1:4" x14ac:dyDescent="0.3">
      <c r="A8" t="s">
        <v>232</v>
      </c>
    </row>
    <row r="27" spans="1:9" x14ac:dyDescent="0.3">
      <c r="A27" s="10" t="s">
        <v>234</v>
      </c>
      <c r="F27" s="10" t="s">
        <v>236</v>
      </c>
    </row>
    <row r="28" spans="1:9" x14ac:dyDescent="0.3">
      <c r="A28" t="s">
        <v>4</v>
      </c>
      <c r="B28" t="s">
        <v>1</v>
      </c>
      <c r="C28" t="s">
        <v>2</v>
      </c>
      <c r="D28" t="s">
        <v>3</v>
      </c>
      <c r="F28" t="s">
        <v>4</v>
      </c>
      <c r="G28" t="s">
        <v>1</v>
      </c>
      <c r="H28" t="s">
        <v>2</v>
      </c>
      <c r="I28" t="s">
        <v>3</v>
      </c>
    </row>
    <row r="29" spans="1:9" x14ac:dyDescent="0.3">
      <c r="A29" t="s">
        <v>16</v>
      </c>
      <c r="B29" t="s">
        <v>9</v>
      </c>
      <c r="C29" t="s">
        <v>228</v>
      </c>
      <c r="D29" t="s">
        <v>189</v>
      </c>
      <c r="F29" t="s">
        <v>16</v>
      </c>
      <c r="G29" t="s">
        <v>9</v>
      </c>
      <c r="H29" t="s">
        <v>228</v>
      </c>
      <c r="I29" t="s">
        <v>189</v>
      </c>
    </row>
    <row r="30" spans="1:9" x14ac:dyDescent="0.3">
      <c r="A30" t="s">
        <v>90</v>
      </c>
      <c r="B30" t="s">
        <v>9</v>
      </c>
      <c r="C30" t="s">
        <v>229</v>
      </c>
      <c r="F30" t="s">
        <v>90</v>
      </c>
      <c r="G30" t="s">
        <v>9</v>
      </c>
      <c r="H30" t="s">
        <v>229</v>
      </c>
    </row>
    <row r="31" spans="1:9" ht="57.6" x14ac:dyDescent="0.3">
      <c r="A31" t="s">
        <v>231</v>
      </c>
      <c r="B31" t="s">
        <v>34</v>
      </c>
      <c r="C31" s="13" t="s">
        <v>235</v>
      </c>
      <c r="F31" t="s">
        <v>237</v>
      </c>
      <c r="G31" t="s">
        <v>7</v>
      </c>
      <c r="H31" s="13" t="s">
        <v>238</v>
      </c>
    </row>
    <row r="32" spans="1:9" x14ac:dyDescent="0.3">
      <c r="F32" t="s">
        <v>61</v>
      </c>
      <c r="G32" t="s">
        <v>34</v>
      </c>
      <c r="H32" t="s">
        <v>239</v>
      </c>
    </row>
    <row r="33" spans="6:8" x14ac:dyDescent="0.3">
      <c r="F33" t="s">
        <v>241</v>
      </c>
      <c r="G33" t="s">
        <v>34</v>
      </c>
      <c r="H33" t="s">
        <v>240</v>
      </c>
    </row>
  </sheetData>
  <dataValidations count="1">
    <dataValidation type="list" allowBlank="1" showInputMessage="1" showErrorMessage="1" sqref="B4:B6 B29:B31 G29:G33" xr:uid="{307106B3-6531-4351-83D4-9457A25D12A8}">
      <formula1>"String, Integer, Blob, Guid, Association, Datetime, Date, Decimal, Unit of Measure"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38F78-BD33-44E7-B821-5B57584E9B21}">
  <dimension ref="A1:D12"/>
  <sheetViews>
    <sheetView workbookViewId="0">
      <selection activeCell="D19" sqref="D19"/>
    </sheetView>
  </sheetViews>
  <sheetFormatPr defaultRowHeight="14.4" x14ac:dyDescent="0.3"/>
  <cols>
    <col min="1" max="1" width="27.33203125" customWidth="1"/>
    <col min="2" max="2" width="26" customWidth="1"/>
    <col min="3" max="3" width="49.44140625" customWidth="1"/>
    <col min="4" max="4" width="36" customWidth="1"/>
  </cols>
  <sheetData>
    <row r="1" spans="1:4" x14ac:dyDescent="0.3">
      <c r="A1" t="s">
        <v>4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86</v>
      </c>
      <c r="C2" t="s">
        <v>162</v>
      </c>
      <c r="D2" t="s">
        <v>162</v>
      </c>
    </row>
    <row r="3" spans="1:4" x14ac:dyDescent="0.3">
      <c r="A3" t="s">
        <v>133</v>
      </c>
      <c r="B3" t="s">
        <v>9</v>
      </c>
      <c r="C3" t="s">
        <v>162</v>
      </c>
      <c r="D3" t="s">
        <v>162</v>
      </c>
    </row>
    <row r="4" spans="1:4" x14ac:dyDescent="0.3">
      <c r="A4" t="s">
        <v>140</v>
      </c>
      <c r="B4" t="s">
        <v>41</v>
      </c>
      <c r="C4" t="s">
        <v>162</v>
      </c>
      <c r="D4" t="s">
        <v>162</v>
      </c>
    </row>
    <row r="5" spans="1:4" ht="43.2" x14ac:dyDescent="0.3">
      <c r="A5" t="s">
        <v>152</v>
      </c>
      <c r="B5" t="s">
        <v>34</v>
      </c>
      <c r="C5" s="11" t="s">
        <v>163</v>
      </c>
      <c r="D5" s="11" t="s">
        <v>163</v>
      </c>
    </row>
    <row r="6" spans="1:4" x14ac:dyDescent="0.3">
      <c r="A6" t="s">
        <v>153</v>
      </c>
      <c r="B6" t="s">
        <v>34</v>
      </c>
    </row>
    <row r="7" spans="1:4" x14ac:dyDescent="0.3">
      <c r="A7" t="s">
        <v>154</v>
      </c>
      <c r="C7" t="s">
        <v>155</v>
      </c>
      <c r="D7" t="s">
        <v>155</v>
      </c>
    </row>
    <row r="8" spans="1:4" x14ac:dyDescent="0.3">
      <c r="A8" t="s">
        <v>156</v>
      </c>
      <c r="B8" t="s">
        <v>7</v>
      </c>
      <c r="C8" t="s">
        <v>186</v>
      </c>
      <c r="D8" t="s">
        <v>186</v>
      </c>
    </row>
    <row r="9" spans="1:4" x14ac:dyDescent="0.3">
      <c r="A9" t="s">
        <v>157</v>
      </c>
      <c r="B9" t="s">
        <v>7</v>
      </c>
      <c r="C9" t="s">
        <v>164</v>
      </c>
      <c r="D9" t="s">
        <v>164</v>
      </c>
    </row>
    <row r="10" spans="1:4" ht="43.2" x14ac:dyDescent="0.3">
      <c r="A10" t="s">
        <v>158</v>
      </c>
      <c r="B10" t="s">
        <v>7</v>
      </c>
      <c r="C10" s="11" t="s">
        <v>159</v>
      </c>
      <c r="D10" s="11" t="s">
        <v>159</v>
      </c>
    </row>
    <row r="11" spans="1:4" x14ac:dyDescent="0.3">
      <c r="A11" t="s">
        <v>160</v>
      </c>
      <c r="B11" t="s">
        <v>9</v>
      </c>
      <c r="C11" t="s">
        <v>164</v>
      </c>
      <c r="D11" t="s">
        <v>164</v>
      </c>
    </row>
    <row r="12" spans="1:4" x14ac:dyDescent="0.3">
      <c r="A12" t="s">
        <v>161</v>
      </c>
      <c r="B12" t="s">
        <v>9</v>
      </c>
      <c r="C12" t="s">
        <v>164</v>
      </c>
      <c r="D12" t="s">
        <v>164</v>
      </c>
    </row>
  </sheetData>
  <dataValidations count="1">
    <dataValidation type="list" allowBlank="1" showInputMessage="1" showErrorMessage="1" sqref="B2:B12" xr:uid="{EB430981-8EB1-4267-935C-340E16FAAFC7}">
      <formula1>"String, Integer, Blob, Guid, Association, Datetime, Date, Decimal, Unit of Measure"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bph_sales</vt:lpstr>
      <vt:lpstr>bph_services</vt:lpstr>
      <vt:lpstr>bph_services_cost</vt:lpstr>
      <vt:lpstr>bph_branches</vt:lpstr>
      <vt:lpstr>bph_users</vt:lpstr>
      <vt:lpstr>bph_barbers</vt:lpstr>
      <vt:lpstr>bph_inventory</vt:lpstr>
      <vt:lpstr>bph_inventory_category</vt:lpstr>
      <vt:lpstr>bph_paymentmethods</vt:lpstr>
      <vt:lpstr>bph_inventory_trail</vt:lpstr>
      <vt:lpstr>bph_customers</vt:lpstr>
      <vt:lpstr>v_mtd_report</vt:lpstr>
      <vt:lpstr>v_barbers_performance</vt:lpstr>
      <vt:lpstr>v_customer_lifetime_value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christian.obar@outlook.com</dc:creator>
  <cp:lastModifiedBy>christian.obar@outlook.com</cp:lastModifiedBy>
  <dcterms:created xsi:type="dcterms:W3CDTF">2026-08-01T09:40:46Z</dcterms:created>
  <dcterms:modified xsi:type="dcterms:W3CDTF">2026-08-02T09:36:51Z</dcterms:modified>
</cp:coreProperties>
</file>